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Shared drives\MUSCULAB\PROJETO BFR_JB\Auburn Dados\"/>
    </mc:Choice>
  </mc:AlternateContent>
  <xr:revisionPtr revIDLastSave="0" documentId="13_ncr:1_{ED35A74B-C381-4E64-BCD7-3F473636223C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mCSA_ECHO_PA_FL" sheetId="1" r:id="rId1"/>
    <sheet name="RIRScale_VolumeLo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7" i="3" l="1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F76" i="3"/>
  <c r="F77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F39" i="3"/>
  <c r="F38" i="3"/>
  <c r="AU75" i="3"/>
  <c r="Z75" i="3"/>
  <c r="AU74" i="3"/>
  <c r="Z74" i="3"/>
  <c r="AU73" i="3"/>
  <c r="Z73" i="3"/>
  <c r="AU72" i="3"/>
  <c r="Z72" i="3"/>
  <c r="AU71" i="3"/>
  <c r="Z71" i="3"/>
  <c r="AU70" i="3"/>
  <c r="Z70" i="3"/>
  <c r="AU69" i="3"/>
  <c r="Z69" i="3"/>
  <c r="AU68" i="3"/>
  <c r="Z68" i="3"/>
  <c r="AU67" i="3"/>
  <c r="Z67" i="3"/>
  <c r="AU66" i="3"/>
  <c r="Z66" i="3"/>
  <c r="AU65" i="3"/>
  <c r="Z65" i="3"/>
  <c r="AU64" i="3"/>
  <c r="Z64" i="3"/>
  <c r="AU63" i="3"/>
  <c r="Z63" i="3"/>
  <c r="AU62" i="3"/>
  <c r="Z62" i="3"/>
  <c r="AU61" i="3"/>
  <c r="Z61" i="3"/>
  <c r="AU60" i="3"/>
  <c r="Z60" i="3"/>
  <c r="AU59" i="3"/>
  <c r="Z59" i="3"/>
  <c r="AU58" i="3"/>
  <c r="Z58" i="3"/>
  <c r="AU57" i="3"/>
  <c r="Z57" i="3"/>
  <c r="AU56" i="3"/>
  <c r="Z56" i="3"/>
  <c r="AU55" i="3"/>
  <c r="Z55" i="3"/>
  <c r="AU54" i="3"/>
  <c r="Z54" i="3"/>
  <c r="AU53" i="3"/>
  <c r="Z53" i="3"/>
  <c r="AU52" i="3"/>
  <c r="Z52" i="3"/>
  <c r="AU51" i="3"/>
  <c r="Z51" i="3"/>
  <c r="AU50" i="3"/>
  <c r="Z50" i="3"/>
  <c r="AU49" i="3"/>
  <c r="Z49" i="3"/>
  <c r="AU48" i="3"/>
  <c r="Z48" i="3"/>
  <c r="AU47" i="3"/>
  <c r="Z47" i="3"/>
  <c r="AU46" i="3"/>
  <c r="Z46" i="3"/>
  <c r="AU45" i="3"/>
  <c r="Z45" i="3"/>
  <c r="AU44" i="3"/>
  <c r="Z44" i="3"/>
  <c r="AU43" i="3"/>
  <c r="Z43" i="3"/>
  <c r="AU42" i="3"/>
  <c r="Z42" i="3"/>
  <c r="AU41" i="3"/>
  <c r="Z41" i="3"/>
  <c r="AU37" i="3"/>
  <c r="Z37" i="3"/>
  <c r="AU36" i="3"/>
  <c r="Z36" i="3"/>
  <c r="AU35" i="3"/>
  <c r="Z35" i="3"/>
  <c r="AU34" i="3"/>
  <c r="Z34" i="3"/>
  <c r="AU33" i="3"/>
  <c r="Z33" i="3"/>
  <c r="AU32" i="3"/>
  <c r="Z32" i="3"/>
  <c r="AU31" i="3"/>
  <c r="Z31" i="3"/>
  <c r="AU30" i="3"/>
  <c r="Z30" i="3"/>
  <c r="AU29" i="3"/>
  <c r="Z29" i="3"/>
  <c r="AU28" i="3"/>
  <c r="Z28" i="3"/>
  <c r="AU27" i="3"/>
  <c r="Z27" i="3"/>
  <c r="AU26" i="3"/>
  <c r="Z26" i="3"/>
  <c r="AU25" i="3"/>
  <c r="Z25" i="3"/>
  <c r="AU24" i="3"/>
  <c r="Z24" i="3"/>
  <c r="AU23" i="3"/>
  <c r="Z23" i="3"/>
  <c r="AU22" i="3"/>
  <c r="Z22" i="3"/>
  <c r="AU21" i="3"/>
  <c r="Z21" i="3"/>
  <c r="AU20" i="3"/>
  <c r="Z20" i="3"/>
  <c r="AU19" i="3"/>
  <c r="Z19" i="3"/>
  <c r="AU18" i="3"/>
  <c r="Z18" i="3"/>
  <c r="AU17" i="3"/>
  <c r="Z17" i="3"/>
  <c r="AU16" i="3"/>
  <c r="Z16" i="3"/>
  <c r="AU15" i="3"/>
  <c r="Z15" i="3"/>
  <c r="AU14" i="3"/>
  <c r="Z14" i="3"/>
  <c r="AU13" i="3"/>
  <c r="Z13" i="3"/>
  <c r="AU12" i="3"/>
  <c r="Z12" i="3"/>
  <c r="AU11" i="3"/>
  <c r="Z11" i="3"/>
  <c r="AU10" i="3"/>
  <c r="Z10" i="3"/>
  <c r="AU9" i="3"/>
  <c r="Z9" i="3"/>
  <c r="AU8" i="3"/>
  <c r="Z8" i="3"/>
  <c r="AU7" i="3"/>
  <c r="Z7" i="3"/>
  <c r="AU6" i="3"/>
  <c r="Z6" i="3"/>
  <c r="AU5" i="3"/>
  <c r="Z5" i="3"/>
  <c r="AU4" i="3"/>
  <c r="Z4" i="3"/>
  <c r="AU3" i="3"/>
  <c r="Z3" i="3"/>
  <c r="J38" i="1"/>
  <c r="F77" i="1"/>
  <c r="F76" i="1"/>
  <c r="F39" i="1"/>
  <c r="F38" i="1"/>
  <c r="S39" i="1"/>
  <c r="W39" i="1"/>
  <c r="AA39" i="1"/>
  <c r="S38" i="1"/>
  <c r="W38" i="1"/>
  <c r="AA38" i="1"/>
  <c r="S77" i="1"/>
  <c r="W77" i="1"/>
  <c r="AA77" i="1"/>
  <c r="S76" i="1"/>
  <c r="W76" i="1"/>
  <c r="AA76" i="1"/>
  <c r="O77" i="1"/>
  <c r="O76" i="1"/>
  <c r="O39" i="1"/>
  <c r="O38" i="1"/>
  <c r="Q3" i="1"/>
  <c r="K77" i="1"/>
  <c r="K76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I41" i="1"/>
  <c r="H4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" i="1"/>
  <c r="G77" i="1"/>
  <c r="G76" i="1"/>
  <c r="G39" i="1"/>
  <c r="K39" i="1"/>
  <c r="G38" i="1"/>
  <c r="K38" i="1"/>
  <c r="AU76" i="3" l="1"/>
  <c r="AU77" i="3"/>
  <c r="Z77" i="3"/>
  <c r="Z76" i="3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7" i="1"/>
  <c r="Y27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AB69" i="1"/>
  <c r="AC69" i="1"/>
  <c r="AB70" i="1"/>
  <c r="AC70" i="1"/>
  <c r="AB72" i="1"/>
  <c r="AC72" i="1"/>
  <c r="AC73" i="1"/>
  <c r="AB73" i="1"/>
  <c r="Y4" i="1"/>
  <c r="X4" i="1"/>
  <c r="Y5" i="1"/>
  <c r="X5" i="1"/>
  <c r="X7" i="1"/>
  <c r="Y7" i="1"/>
  <c r="X8" i="1"/>
  <c r="Y8" i="1"/>
  <c r="X9" i="1"/>
  <c r="Y9" i="1"/>
  <c r="X10" i="1"/>
  <c r="Y10" i="1"/>
  <c r="X11" i="1"/>
  <c r="Y11" i="1"/>
  <c r="X13" i="1"/>
  <c r="Y13" i="1"/>
  <c r="X14" i="1"/>
  <c r="Y14" i="1"/>
  <c r="X15" i="1"/>
  <c r="Y15" i="1"/>
  <c r="X16" i="1"/>
  <c r="Y16" i="1"/>
  <c r="AC74" i="1"/>
  <c r="AB74" i="1"/>
  <c r="AC42" i="1"/>
  <c r="AB42" i="1"/>
  <c r="AC44" i="1"/>
  <c r="AB44" i="1"/>
  <c r="AC45" i="1"/>
  <c r="AB45" i="1"/>
  <c r="AC47" i="1"/>
  <c r="AB47" i="1"/>
  <c r="AC48" i="1"/>
  <c r="AB48" i="1"/>
  <c r="AC49" i="1"/>
  <c r="AB49" i="1"/>
  <c r="AC52" i="1"/>
  <c r="AB52" i="1"/>
  <c r="AC53" i="1"/>
  <c r="AB53" i="1"/>
  <c r="AC54" i="1"/>
  <c r="AB54" i="1"/>
  <c r="AC55" i="1"/>
  <c r="AB55" i="1"/>
  <c r="AC56" i="1"/>
  <c r="AB56" i="1"/>
  <c r="AC57" i="1"/>
  <c r="AB57" i="1"/>
  <c r="AC59" i="1"/>
  <c r="AB59" i="1"/>
  <c r="AC62" i="1"/>
  <c r="AB62" i="1"/>
  <c r="AC64" i="1"/>
  <c r="AB64" i="1"/>
  <c r="AC65" i="1"/>
  <c r="AB65" i="1"/>
  <c r="AC66" i="1"/>
  <c r="AB66" i="1"/>
  <c r="AC67" i="1"/>
  <c r="AB67" i="1"/>
  <c r="X42" i="1"/>
  <c r="Y42" i="1"/>
  <c r="X44" i="1"/>
  <c r="Y44" i="1"/>
  <c r="Y45" i="1"/>
  <c r="X45" i="1"/>
  <c r="Y47" i="1"/>
  <c r="X47" i="1"/>
  <c r="X48" i="1"/>
  <c r="Y48" i="1"/>
  <c r="X49" i="1"/>
  <c r="Y49" i="1"/>
  <c r="X52" i="1"/>
  <c r="Y52" i="1"/>
  <c r="X53" i="1"/>
  <c r="Y53" i="1"/>
  <c r="X54" i="1"/>
  <c r="Y54" i="1"/>
  <c r="X55" i="1"/>
  <c r="Y55" i="1"/>
  <c r="X56" i="1"/>
  <c r="Y56" i="1"/>
  <c r="X57" i="1"/>
  <c r="Y57" i="1"/>
  <c r="X59" i="1"/>
  <c r="Y59" i="1"/>
  <c r="X62" i="1"/>
  <c r="Y62" i="1"/>
  <c r="X64" i="1"/>
  <c r="Y64" i="1"/>
  <c r="Y65" i="1"/>
  <c r="X65" i="1"/>
  <c r="Y66" i="1"/>
  <c r="X66" i="1"/>
  <c r="Y67" i="1"/>
  <c r="X67" i="1"/>
  <c r="X69" i="1"/>
  <c r="Y69" i="1"/>
  <c r="Y70" i="1"/>
  <c r="X70" i="1"/>
  <c r="Y72" i="1"/>
  <c r="X72" i="1"/>
  <c r="Y73" i="1"/>
  <c r="X73" i="1"/>
  <c r="Y74" i="1"/>
  <c r="X74" i="1"/>
  <c r="AC41" i="1"/>
  <c r="AB41" i="1"/>
  <c r="Y41" i="1"/>
  <c r="X41" i="1"/>
  <c r="AC4" i="1"/>
  <c r="AB4" i="1"/>
  <c r="AC5" i="1"/>
  <c r="AB5" i="1"/>
  <c r="AC7" i="1"/>
  <c r="AB7" i="1"/>
  <c r="AC8" i="1"/>
  <c r="AB8" i="1"/>
  <c r="AC9" i="1"/>
  <c r="AB9" i="1"/>
  <c r="AC10" i="1"/>
  <c r="AB10" i="1"/>
  <c r="AC11" i="1"/>
  <c r="AB11" i="1"/>
  <c r="AC13" i="1"/>
  <c r="AB13" i="1"/>
  <c r="AC14" i="1"/>
  <c r="AB14" i="1"/>
  <c r="AC15" i="1"/>
  <c r="AB15" i="1"/>
  <c r="AB16" i="1"/>
  <c r="AC16" i="1"/>
  <c r="AC18" i="1"/>
  <c r="AB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C27" i="1"/>
  <c r="AB27" i="1"/>
  <c r="AC29" i="1"/>
  <c r="AB29" i="1"/>
  <c r="AC30" i="1"/>
  <c r="AB30" i="1"/>
  <c r="AC31" i="1"/>
  <c r="AB31" i="1"/>
  <c r="AC32" i="1"/>
  <c r="AB32" i="1"/>
  <c r="AC33" i="1"/>
  <c r="AB33" i="1"/>
  <c r="AC34" i="1"/>
  <c r="AB34" i="1"/>
  <c r="AC35" i="1"/>
  <c r="AB35" i="1"/>
  <c r="AC36" i="1"/>
  <c r="AB36" i="1"/>
  <c r="AC3" i="1"/>
  <c r="AB3" i="1"/>
  <c r="X3" i="1"/>
  <c r="Y3" i="1"/>
  <c r="Z77" i="1"/>
  <c r="Z76" i="1"/>
  <c r="Z38" i="1"/>
  <c r="Z39" i="1"/>
  <c r="V77" i="1"/>
  <c r="V76" i="1"/>
  <c r="V39" i="1"/>
  <c r="V38" i="1"/>
  <c r="R76" i="1"/>
  <c r="R77" i="1"/>
  <c r="R38" i="1"/>
  <c r="R39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U42" i="1"/>
  <c r="T42" i="1"/>
  <c r="T43" i="1"/>
  <c r="U43" i="1"/>
  <c r="U44" i="1"/>
  <c r="T44" i="1"/>
  <c r="U45" i="1"/>
  <c r="T45" i="1"/>
  <c r="U46" i="1"/>
  <c r="T46" i="1"/>
  <c r="U47" i="1"/>
  <c r="T47" i="1"/>
  <c r="U48" i="1"/>
  <c r="T48" i="1"/>
  <c r="U49" i="1"/>
  <c r="T49" i="1"/>
  <c r="U50" i="1"/>
  <c r="T50" i="1"/>
  <c r="U51" i="1"/>
  <c r="T51" i="1"/>
  <c r="U52" i="1"/>
  <c r="T52" i="1"/>
  <c r="U53" i="1"/>
  <c r="T53" i="1"/>
  <c r="U54" i="1"/>
  <c r="T54" i="1"/>
  <c r="U55" i="1"/>
  <c r="T55" i="1"/>
  <c r="U56" i="1"/>
  <c r="T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U41" i="1"/>
  <c r="T41" i="1"/>
  <c r="U20" i="1"/>
  <c r="T20" i="1"/>
  <c r="U21" i="1"/>
  <c r="T21" i="1"/>
  <c r="U22" i="1"/>
  <c r="T22" i="1"/>
  <c r="U23" i="1"/>
  <c r="T23" i="1"/>
  <c r="U24" i="1"/>
  <c r="T24" i="1"/>
  <c r="U25" i="1"/>
  <c r="T25" i="1"/>
  <c r="U26" i="1"/>
  <c r="T26" i="1"/>
  <c r="U27" i="1"/>
  <c r="T27" i="1"/>
  <c r="U28" i="1"/>
  <c r="T28" i="1"/>
  <c r="U29" i="1"/>
  <c r="T29" i="1"/>
  <c r="U30" i="1"/>
  <c r="T30" i="1"/>
  <c r="U31" i="1"/>
  <c r="T31" i="1"/>
  <c r="U32" i="1"/>
  <c r="T32" i="1"/>
  <c r="U33" i="1"/>
  <c r="T33" i="1"/>
  <c r="U34" i="1"/>
  <c r="T34" i="1"/>
  <c r="U35" i="1"/>
  <c r="T35" i="1"/>
  <c r="U36" i="1"/>
  <c r="T36" i="1"/>
  <c r="U37" i="1"/>
  <c r="T37" i="1"/>
  <c r="U3" i="1"/>
  <c r="T3" i="1"/>
  <c r="P42" i="1"/>
  <c r="Q42" i="1"/>
  <c r="P43" i="1"/>
  <c r="Q43" i="1"/>
  <c r="P44" i="1"/>
  <c r="Q44" i="1"/>
  <c r="P45" i="1"/>
  <c r="Q45" i="1"/>
  <c r="P46" i="1"/>
  <c r="Q46" i="1"/>
  <c r="P47" i="1"/>
  <c r="Q47" i="1"/>
  <c r="N77" i="1"/>
  <c r="N76" i="1"/>
  <c r="P48" i="1"/>
  <c r="Q48" i="1"/>
  <c r="Q49" i="1"/>
  <c r="P49" i="1"/>
  <c r="Q50" i="1"/>
  <c r="P50" i="1"/>
  <c r="Q51" i="1"/>
  <c r="P51" i="1"/>
  <c r="Q52" i="1"/>
  <c r="P52" i="1"/>
  <c r="Q53" i="1"/>
  <c r="P53" i="1"/>
  <c r="Q54" i="1"/>
  <c r="P54" i="1"/>
  <c r="Q55" i="1"/>
  <c r="P55" i="1"/>
  <c r="P56" i="1"/>
  <c r="Q56" i="1"/>
  <c r="P57" i="1"/>
  <c r="Q57" i="1"/>
  <c r="P58" i="1"/>
  <c r="Q58" i="1"/>
  <c r="Q59" i="1"/>
  <c r="P59" i="1"/>
  <c r="Q60" i="1"/>
  <c r="P60" i="1"/>
  <c r="Q61" i="1"/>
  <c r="P61" i="1"/>
  <c r="Q62" i="1"/>
  <c r="P62" i="1"/>
  <c r="Q63" i="1"/>
  <c r="P63" i="1"/>
  <c r="Q64" i="1"/>
  <c r="P64" i="1"/>
  <c r="Q65" i="1"/>
  <c r="P65" i="1"/>
  <c r="Q66" i="1"/>
  <c r="P66" i="1"/>
  <c r="Q67" i="1"/>
  <c r="P67" i="1"/>
  <c r="Q68" i="1"/>
  <c r="P68" i="1"/>
  <c r="Q69" i="1"/>
  <c r="P69" i="1"/>
  <c r="Q70" i="1"/>
  <c r="P70" i="1"/>
  <c r="Q71" i="1"/>
  <c r="P71" i="1"/>
  <c r="Q72" i="1"/>
  <c r="P72" i="1"/>
  <c r="Q73" i="1"/>
  <c r="P73" i="1"/>
  <c r="Q74" i="1"/>
  <c r="P74" i="1"/>
  <c r="Q75" i="1"/>
  <c r="P75" i="1"/>
  <c r="Q41" i="1"/>
  <c r="P41" i="1"/>
  <c r="Q4" i="1"/>
  <c r="P4" i="1"/>
  <c r="P5" i="1"/>
  <c r="Q5" i="1"/>
  <c r="P6" i="1"/>
  <c r="Q6" i="1"/>
  <c r="P7" i="1"/>
  <c r="Q7" i="1"/>
  <c r="Q8" i="1"/>
  <c r="P8" i="1"/>
  <c r="P9" i="1"/>
  <c r="Q9" i="1"/>
  <c r="P10" i="1"/>
  <c r="Q10" i="1"/>
  <c r="Q11" i="1"/>
  <c r="P11" i="1"/>
  <c r="Q12" i="1"/>
  <c r="P12" i="1"/>
  <c r="P13" i="1"/>
  <c r="Q13" i="1"/>
  <c r="Q14" i="1"/>
  <c r="P14" i="1"/>
  <c r="P15" i="1"/>
  <c r="Q15" i="1"/>
  <c r="P16" i="1"/>
  <c r="Q16" i="1"/>
  <c r="Q17" i="1"/>
  <c r="P17" i="1"/>
  <c r="Q18" i="1"/>
  <c r="P18" i="1"/>
  <c r="Q19" i="1"/>
  <c r="P19" i="1"/>
  <c r="Q20" i="1"/>
  <c r="P20" i="1"/>
  <c r="P21" i="1"/>
  <c r="Q21" i="1"/>
  <c r="P22" i="1"/>
  <c r="Q22" i="1"/>
  <c r="Q23" i="1"/>
  <c r="P23" i="1"/>
  <c r="Q24" i="1"/>
  <c r="P24" i="1"/>
  <c r="P25" i="1"/>
  <c r="Q25" i="1"/>
  <c r="Q26" i="1"/>
  <c r="P26" i="1"/>
  <c r="P27" i="1"/>
  <c r="Q27" i="1"/>
  <c r="P28" i="1"/>
  <c r="Q28" i="1"/>
  <c r="P29" i="1"/>
  <c r="Q29" i="1"/>
  <c r="Q30" i="1"/>
  <c r="P30" i="1"/>
  <c r="Q31" i="1"/>
  <c r="P31" i="1"/>
  <c r="Q32" i="1"/>
  <c r="P32" i="1"/>
  <c r="Q33" i="1"/>
  <c r="P33" i="1"/>
  <c r="Q34" i="1"/>
  <c r="P34" i="1"/>
  <c r="Q35" i="1"/>
  <c r="P35" i="1"/>
  <c r="Q36" i="1"/>
  <c r="P36" i="1"/>
  <c r="P37" i="1"/>
  <c r="Q37" i="1"/>
  <c r="N38" i="1"/>
  <c r="N39" i="1"/>
  <c r="P3" i="1"/>
  <c r="J77" i="1"/>
  <c r="L42" i="1"/>
  <c r="M42" i="1"/>
  <c r="L43" i="1"/>
  <c r="M43" i="1"/>
  <c r="L45" i="1"/>
  <c r="M45" i="1"/>
  <c r="L46" i="1"/>
  <c r="M46" i="1"/>
  <c r="L47" i="1"/>
  <c r="M47" i="1"/>
  <c r="L48" i="1"/>
  <c r="M48" i="1"/>
  <c r="L44" i="1"/>
  <c r="M44" i="1"/>
  <c r="L49" i="1"/>
  <c r="M4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" i="1"/>
  <c r="L3" i="1"/>
  <c r="L50" i="1"/>
  <c r="M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L62" i="1"/>
  <c r="M62" i="1"/>
  <c r="M63" i="1"/>
  <c r="L63" i="1"/>
  <c r="L64" i="1"/>
  <c r="M64" i="1"/>
  <c r="M65" i="1"/>
  <c r="L65" i="1"/>
  <c r="L66" i="1"/>
  <c r="M66" i="1"/>
  <c r="L67" i="1"/>
  <c r="M67" i="1"/>
  <c r="L68" i="1"/>
  <c r="M68" i="1"/>
  <c r="L69" i="1"/>
  <c r="M69" i="1"/>
  <c r="M70" i="1"/>
  <c r="L70" i="1"/>
  <c r="L71" i="1"/>
  <c r="M71" i="1"/>
  <c r="M72" i="1"/>
  <c r="L72" i="1"/>
  <c r="M73" i="1"/>
  <c r="L73" i="1"/>
  <c r="L74" i="1"/>
  <c r="M74" i="1"/>
  <c r="L75" i="1"/>
  <c r="M75" i="1"/>
  <c r="L41" i="1"/>
  <c r="J76" i="1"/>
  <c r="M41" i="1"/>
  <c r="L4" i="1"/>
  <c r="M4" i="1"/>
  <c r="M5" i="1"/>
  <c r="L5" i="1"/>
  <c r="L6" i="1"/>
  <c r="M6" i="1"/>
  <c r="L7" i="1"/>
  <c r="M7" i="1"/>
  <c r="L8" i="1"/>
  <c r="M8" i="1"/>
  <c r="M9" i="1"/>
  <c r="L9" i="1"/>
  <c r="M10" i="1"/>
  <c r="L10" i="1"/>
  <c r="M11" i="1"/>
  <c r="L11" i="1"/>
  <c r="L12" i="1"/>
  <c r="M12" i="1"/>
  <c r="L13" i="1"/>
  <c r="M13" i="1"/>
  <c r="M14" i="1"/>
  <c r="L14" i="1"/>
  <c r="L15" i="1"/>
  <c r="M15" i="1"/>
  <c r="L16" i="1"/>
  <c r="M16" i="1"/>
  <c r="M17" i="1"/>
  <c r="L17" i="1"/>
  <c r="L18" i="1"/>
  <c r="M18" i="1"/>
  <c r="L19" i="1"/>
  <c r="M19" i="1"/>
  <c r="J39" i="1"/>
  <c r="I77" i="1"/>
  <c r="I76" i="1"/>
  <c r="H77" i="1"/>
  <c r="H76" i="1"/>
  <c r="I39" i="1"/>
  <c r="I38" i="1"/>
  <c r="H39" i="1"/>
  <c r="H38" i="1"/>
  <c r="AC76" i="1" l="1"/>
  <c r="AC77" i="1"/>
  <c r="AB77" i="1"/>
  <c r="AB76" i="1"/>
  <c r="AC38" i="1"/>
  <c r="AC39" i="1"/>
  <c r="AB38" i="1"/>
  <c r="AB39" i="1"/>
  <c r="Y76" i="1"/>
  <c r="Y77" i="1"/>
  <c r="X76" i="1"/>
  <c r="X77" i="1"/>
  <c r="X39" i="1"/>
  <c r="X38" i="1"/>
  <c r="Y39" i="1"/>
  <c r="Y38" i="1"/>
  <c r="U77" i="1"/>
  <c r="U76" i="1"/>
  <c r="T77" i="1"/>
  <c r="T76" i="1"/>
  <c r="U38" i="1"/>
  <c r="U39" i="1"/>
  <c r="T38" i="1"/>
  <c r="T39" i="1"/>
  <c r="Q77" i="1"/>
  <c r="Q76" i="1"/>
  <c r="P76" i="1"/>
  <c r="P77" i="1"/>
  <c r="P38" i="1"/>
  <c r="P39" i="1"/>
  <c r="Q38" i="1"/>
  <c r="Q39" i="1"/>
  <c r="L39" i="1"/>
  <c r="L38" i="1"/>
  <c r="M38" i="1"/>
  <c r="M39" i="1"/>
  <c r="L76" i="1"/>
  <c r="L77" i="1"/>
  <c r="M77" i="1"/>
  <c r="M76" i="1"/>
</calcChain>
</file>

<file path=xl/sharedStrings.xml><?xml version="1.0" encoding="utf-8"?>
<sst xmlns="http://schemas.openxmlformats.org/spreadsheetml/2006/main" count="818" uniqueCount="99">
  <si>
    <t>ID</t>
  </si>
  <si>
    <t>Aline Silva de Oliveira</t>
  </si>
  <si>
    <t>S4</t>
  </si>
  <si>
    <t>Ana Carolina Woord</t>
  </si>
  <si>
    <t>S32</t>
  </si>
  <si>
    <t>Ana Clara Teodoro de Matos Pereira</t>
  </si>
  <si>
    <t>S20</t>
  </si>
  <si>
    <t>Ana Laura de Souza Toledo</t>
  </si>
  <si>
    <t>S10</t>
  </si>
  <si>
    <t>Anthony da Silva Feitosa</t>
  </si>
  <si>
    <t>S21</t>
  </si>
  <si>
    <t>Barbara Aparecida Souza da Silva</t>
  </si>
  <si>
    <t>S13</t>
  </si>
  <si>
    <t>Bárbara Baptista</t>
  </si>
  <si>
    <t>S11</t>
  </si>
  <si>
    <t>Daniel Ribeiro Braga</t>
  </si>
  <si>
    <t>S30</t>
  </si>
  <si>
    <t>Davy Rodrigues de Moura</t>
  </si>
  <si>
    <t>S18</t>
  </si>
  <si>
    <t>Domênica de Paula Marçal Ferreira</t>
  </si>
  <si>
    <t>S26</t>
  </si>
  <si>
    <t>Edmar Lima Salgado Soares</t>
  </si>
  <si>
    <t>S31</t>
  </si>
  <si>
    <t xml:space="preserve">Expedite do Nascimento Silva </t>
  </si>
  <si>
    <t>S27</t>
  </si>
  <si>
    <t>Gabriel Albertin Amici</t>
  </si>
  <si>
    <t>S29</t>
  </si>
  <si>
    <t>Gabriel Antonio Barbosa Mesquita</t>
  </si>
  <si>
    <t>S6</t>
  </si>
  <si>
    <t>Gabriel Henrique Sacheti</t>
  </si>
  <si>
    <t>S9</t>
  </si>
  <si>
    <t>Giovana Oliveira de Souza</t>
  </si>
  <si>
    <t>S23</t>
  </si>
  <si>
    <t>Jacqueline Barros de Souza Alves</t>
  </si>
  <si>
    <t>S15</t>
  </si>
  <si>
    <t xml:space="preserve">João Lucas Gaspar Pereira </t>
  </si>
  <si>
    <t>S3</t>
  </si>
  <si>
    <t>João Victor Muniz Catarino</t>
  </si>
  <si>
    <t>S5</t>
  </si>
  <si>
    <t>João Vitor Carbonari Martins</t>
  </si>
  <si>
    <t>S37</t>
  </si>
  <si>
    <t>José Augusto Silva Santos</t>
  </si>
  <si>
    <t>S33</t>
  </si>
  <si>
    <t>Kamilly Vitoria de Oliveira</t>
  </si>
  <si>
    <t>S2</t>
  </si>
  <si>
    <t>Leonardo Henrique Ribeiro da Costa</t>
  </si>
  <si>
    <t>S17</t>
  </si>
  <si>
    <t>Liliane Caroline Alves Martins</t>
  </si>
  <si>
    <t>S34</t>
  </si>
  <si>
    <t>Lorenzo Mitsuru Murata</t>
  </si>
  <si>
    <t>S28</t>
  </si>
  <si>
    <t>Lucas de Souza Silva (Luca)</t>
  </si>
  <si>
    <t>S35</t>
  </si>
  <si>
    <t>Maria Fernanda Alves</t>
  </si>
  <si>
    <t>S7</t>
  </si>
  <si>
    <t>Marina Elisangela Ferreira Batista</t>
  </si>
  <si>
    <t>S36</t>
  </si>
  <si>
    <t>Otavio Ferrari Netto</t>
  </si>
  <si>
    <t>S24</t>
  </si>
  <si>
    <t>Railson Gabriel de Sales Figueiredo</t>
  </si>
  <si>
    <t>S22</t>
  </si>
  <si>
    <t>Renan Bernardo de Oliveira Bertolotti</t>
  </si>
  <si>
    <t>S14</t>
  </si>
  <si>
    <t>Rodrigo Ciardella Rodarte</t>
  </si>
  <si>
    <t>S8</t>
  </si>
  <si>
    <t>Thiago Marques</t>
  </si>
  <si>
    <t>S16</t>
  </si>
  <si>
    <t>Victor Hugo Guimarães</t>
  </si>
  <si>
    <t>S12</t>
  </si>
  <si>
    <t>Yasmin Corrêa dos Santos</t>
  </si>
  <si>
    <t>S25</t>
  </si>
  <si>
    <t>S19</t>
  </si>
  <si>
    <t>S1</t>
  </si>
  <si>
    <t>Δ (%)</t>
  </si>
  <si>
    <t>Δ Absolute</t>
  </si>
  <si>
    <t>MISSING</t>
  </si>
  <si>
    <t>NAME</t>
  </si>
  <si>
    <t>POST</t>
  </si>
  <si>
    <t>Mean</t>
  </si>
  <si>
    <t>STD</t>
  </si>
  <si>
    <t>LIMB</t>
  </si>
  <si>
    <t>Right</t>
  </si>
  <si>
    <t>Left</t>
  </si>
  <si>
    <t>Sex</t>
  </si>
  <si>
    <t>F</t>
  </si>
  <si>
    <t>M</t>
  </si>
  <si>
    <t>BFR Protocol</t>
  </si>
  <si>
    <t>HLRT Protocol</t>
  </si>
  <si>
    <t>PA</t>
  </si>
  <si>
    <t>FL</t>
  </si>
  <si>
    <t>PRE</t>
  </si>
  <si>
    <t>VL CSA ECHO (A.U.)</t>
  </si>
  <si>
    <r>
      <t>VL CSA (cm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</si>
  <si>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RF CSA (cm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</si>
  <si>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RIR Scale</t>
  </si>
  <si>
    <t>Volume load (kg)</t>
  </si>
  <si>
    <t>RIR_AVG</t>
  </si>
  <si>
    <t>Accumulated Volume Load</t>
  </si>
  <si>
    <t>RF CSA ECHO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</si>
</sst>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left" vertical="center"/>
    </xf>
    <xf numFmtId="2" fontId="0" fillId="0" borderId="0" xfId="0" applyNumberFormat="1" applyAlignment="1">
      <alignment horizontal="center"/>
    </xf>
    <xf numFmtId="2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5" fillId="4" borderId="6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textRotation="255"/>
    </xf>
    <xf numFmtId="0" fontId="0" fillId="6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textRotation="255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zoomScale="70" zoomScaleNormal="70" workbookViewId="0">
      <pane xSplit="5" ySplit="2" topLeftCell="F49" activePane="bottomRight" state="frozen"/>
      <selection pane="topRight" activeCell="F1" sqref="F1"/>
      <selection pane="bottomLeft" activeCell="A3" sqref="A3"/>
      <selection pane="bottomRight" activeCell="AD32" sqref="AD32"/>
    </sheetView>
  </sheetViews>
  <sheetFormatPr defaultColWidth="8.6328125" defaultRowHeight="14.5" x14ac:dyDescent="0.35"/>
  <cols>
    <col min="1" max="1" width="14.26953125" style="1" bestFit="1" customWidth="1"/>
    <col min="2" max="2" width="42.81640625" style="1" bestFit="1" customWidth="1"/>
    <col min="3" max="3" width="5" style="1" customWidth="1"/>
    <col min="4" max="4" width="6" style="1" bestFit="1" customWidth="1"/>
    <col min="5" max="5" width="4.36328125" style="1" bestFit="1" customWidth="1"/>
    <col min="6" max="7" width="7.90625" style="1" bestFit="1" customWidth="1"/>
    <col min="8" max="8" width="7.453125" style="1" bestFit="1" customWidth="1"/>
    <col min="9" max="9" width="12.81640625" style="1" bestFit="1" customWidth="1"/>
    <col min="10" max="10" width="11.54296875" style="1" bestFit="1" customWidth="1"/>
    <col min="11" max="11" width="12" style="1" bestFit="1" customWidth="1"/>
    <col min="12" max="12" width="7.7265625" style="1" bestFit="1" customWidth="1"/>
    <col min="13" max="13" width="12.81640625" style="1" bestFit="1" customWidth="1"/>
    <col min="14" max="14" width="6.54296875" style="1" bestFit="1" customWidth="1"/>
    <col min="15" max="16" width="7.90625" style="1" bestFit="1" customWidth="1"/>
    <col min="17" max="17" width="12.81640625" style="1" bestFit="1" customWidth="1"/>
    <col min="18" max="18" width="11.54296875" style="1" bestFit="1" customWidth="1"/>
    <col min="19" max="19" width="12" style="1" bestFit="1" customWidth="1"/>
    <col min="20" max="20" width="7.7265625" style="1" bestFit="1" customWidth="1"/>
    <col min="21" max="21" width="12.81640625" style="1" bestFit="1" customWidth="1"/>
    <col min="22" max="24" width="9.26953125" style="1" bestFit="1" customWidth="1"/>
    <col min="25" max="25" width="12.81640625" style="1" bestFit="1" customWidth="1"/>
    <col min="26" max="28" width="9.26953125" style="1" bestFit="1" customWidth="1"/>
    <col min="29" max="29" width="12.81640625" style="1" bestFit="1" customWidth="1"/>
    <col min="30" max="33" width="10.36328125" style="1" bestFit="1" customWidth="1"/>
    <col min="34" max="34" width="9" style="1" bestFit="1" customWidth="1"/>
    <col min="35" max="35" width="10" style="1" bestFit="1" customWidth="1"/>
    <col min="36" max="39" width="10.36328125" style="1" bestFit="1" customWidth="1"/>
    <col min="40" max="40" width="9" style="1" bestFit="1" customWidth="1"/>
    <col min="41" max="41" width="14.08984375" style="1" bestFit="1" customWidth="1"/>
    <col min="42" max="16384" width="8.6328125" style="1"/>
  </cols>
  <sheetData>
    <row r="1" spans="1:29" ht="16.5" x14ac:dyDescent="0.35">
      <c r="F1" s="28" t="s">
        <v>92</v>
      </c>
      <c r="G1" s="28"/>
      <c r="H1" s="28"/>
      <c r="I1" s="28"/>
      <c r="J1" s="29" t="s">
        <v>91</v>
      </c>
      <c r="K1" s="29"/>
      <c r="L1" s="29"/>
      <c r="M1" s="29"/>
      <c r="N1" s="23" t="s">
        <v>93</v>
      </c>
      <c r="O1" s="23"/>
      <c r="P1" s="23"/>
      <c r="Q1" s="23"/>
      <c r="R1" s="22" t="s">
        <v>98</v>
      </c>
      <c r="S1" s="22"/>
      <c r="T1" s="22"/>
      <c r="U1" s="22"/>
      <c r="V1" s="23" t="s">
        <v>88</v>
      </c>
      <c r="W1" s="23"/>
      <c r="X1" s="23"/>
      <c r="Y1" s="23"/>
      <c r="Z1" s="22" t="s">
        <v>89</v>
      </c>
      <c r="AA1" s="22"/>
      <c r="AB1" s="22"/>
      <c r="AC1" s="22"/>
    </row>
    <row r="2" spans="1:29" ht="15.5" x14ac:dyDescent="0.35">
      <c r="B2" s="15" t="s">
        <v>76</v>
      </c>
      <c r="C2" s="15" t="s">
        <v>0</v>
      </c>
      <c r="D2" s="15" t="s">
        <v>80</v>
      </c>
      <c r="E2" s="15" t="s">
        <v>83</v>
      </c>
      <c r="F2" s="5" t="s">
        <v>90</v>
      </c>
      <c r="G2" s="5" t="s">
        <v>77</v>
      </c>
      <c r="H2" s="5" t="s">
        <v>73</v>
      </c>
      <c r="I2" s="5" t="s">
        <v>74</v>
      </c>
      <c r="J2" s="12" t="s">
        <v>90</v>
      </c>
      <c r="K2" s="12" t="s">
        <v>77</v>
      </c>
      <c r="L2" s="12" t="s">
        <v>73</v>
      </c>
      <c r="M2" s="12" t="s">
        <v>74</v>
      </c>
      <c r="N2" s="5" t="s">
        <v>90</v>
      </c>
      <c r="O2" s="5" t="s">
        <v>77</v>
      </c>
      <c r="P2" s="5" t="s">
        <v>73</v>
      </c>
      <c r="Q2" s="5" t="s">
        <v>74</v>
      </c>
      <c r="R2" s="12" t="s">
        <v>90</v>
      </c>
      <c r="S2" s="12" t="s">
        <v>77</v>
      </c>
      <c r="T2" s="12" t="s">
        <v>73</v>
      </c>
      <c r="U2" s="12" t="s">
        <v>74</v>
      </c>
      <c r="V2" s="5" t="s">
        <v>90</v>
      </c>
      <c r="W2" s="5" t="s">
        <v>77</v>
      </c>
      <c r="X2" s="5" t="s">
        <v>73</v>
      </c>
      <c r="Y2" s="5" t="s">
        <v>74</v>
      </c>
      <c r="Z2" s="12" t="s">
        <v>90</v>
      </c>
      <c r="AA2" s="12" t="s">
        <v>77</v>
      </c>
      <c r="AB2" s="12" t="s">
        <v>73</v>
      </c>
      <c r="AC2" s="12" t="s">
        <v>74</v>
      </c>
    </row>
    <row r="3" spans="1:29" ht="18.5" customHeight="1" x14ac:dyDescent="0.35">
      <c r="A3" s="26" t="s">
        <v>86</v>
      </c>
      <c r="B3" s="20" t="s">
        <v>1</v>
      </c>
      <c r="C3" s="7" t="s">
        <v>2</v>
      </c>
      <c r="D3" s="7" t="s">
        <v>81</v>
      </c>
      <c r="E3" s="7" t="s">
        <v>84</v>
      </c>
      <c r="F3" s="7">
        <v>15.5755</v>
      </c>
      <c r="G3" s="7">
        <v>18.190999999999999</v>
      </c>
      <c r="H3" s="7">
        <f>(G3-F3)/F3*100</f>
        <v>16.792398317871012</v>
      </c>
      <c r="I3" s="7">
        <f>G3-F3</f>
        <v>2.615499999999999</v>
      </c>
      <c r="J3" s="7">
        <v>63618.5</v>
      </c>
      <c r="K3" s="7">
        <v>68462</v>
      </c>
      <c r="L3" s="7">
        <f>(K3-J3)/J3*100</f>
        <v>7.613351462231897</v>
      </c>
      <c r="M3" s="7">
        <f>K3-J3</f>
        <v>4843.5</v>
      </c>
      <c r="N3" s="7">
        <v>3.786</v>
      </c>
      <c r="O3" s="7">
        <v>5.1449999999999996</v>
      </c>
      <c r="P3" s="7">
        <f>(O3-N3)/N3*100</f>
        <v>35.895404120443729</v>
      </c>
      <c r="Q3" s="7">
        <f>O3-N3</f>
        <v>1.3589999999999995</v>
      </c>
      <c r="R3" s="7">
        <v>72249</v>
      </c>
      <c r="S3" s="7">
        <v>74064</v>
      </c>
      <c r="T3" s="7">
        <f>(S3-R3)/R3*100</f>
        <v>2.5121454968234853</v>
      </c>
      <c r="U3" s="7">
        <f>S3-R3</f>
        <v>1815</v>
      </c>
      <c r="V3" s="7">
        <v>16.319499999999998</v>
      </c>
      <c r="W3" s="7">
        <v>20.434999999999999</v>
      </c>
      <c r="X3" s="7">
        <f>(W3-V3)/V3*100</f>
        <v>25.218297129201272</v>
      </c>
      <c r="Y3" s="7">
        <f>W3-V3</f>
        <v>4.1155000000000008</v>
      </c>
      <c r="Z3" s="7">
        <v>6.7844999999999995</v>
      </c>
      <c r="AA3" s="7">
        <v>6.2880000000000003</v>
      </c>
      <c r="AB3" s="7">
        <f>(AA3-Z3)/Z3*100</f>
        <v>-7.318151669246066</v>
      </c>
      <c r="AC3" s="7">
        <f>AA3-Z3</f>
        <v>-0.49649999999999928</v>
      </c>
    </row>
    <row r="4" spans="1:29" ht="18.5" customHeight="1" x14ac:dyDescent="0.35">
      <c r="A4" s="27"/>
      <c r="B4" s="20" t="s">
        <v>3</v>
      </c>
      <c r="C4" s="7" t="s">
        <v>4</v>
      </c>
      <c r="D4" s="7" t="s">
        <v>82</v>
      </c>
      <c r="E4" s="7" t="s">
        <v>84</v>
      </c>
      <c r="F4" s="7">
        <v>19.577999999999999</v>
      </c>
      <c r="G4" s="7">
        <v>21.396999999999998</v>
      </c>
      <c r="H4" s="7">
        <f t="shared" ref="H4:H37" si="0">(G4-F4)/F4*100</f>
        <v>9.291040964347733</v>
      </c>
      <c r="I4" s="7">
        <f t="shared" ref="I4:I37" si="1">G4-F4</f>
        <v>1.8189999999999991</v>
      </c>
      <c r="J4" s="7">
        <v>59842</v>
      </c>
      <c r="K4" s="7">
        <v>56029</v>
      </c>
      <c r="L4" s="7">
        <f t="shared" ref="L4:L37" si="2">(K4-J4)/J4*100</f>
        <v>-6.3717790180809457</v>
      </c>
      <c r="M4" s="7">
        <f t="shared" ref="M4:M37" si="3">K4-J4</f>
        <v>-3813</v>
      </c>
      <c r="N4" s="7">
        <v>5.4485000000000001</v>
      </c>
      <c r="O4" s="7">
        <v>6.6280000000000001</v>
      </c>
      <c r="P4" s="7">
        <f t="shared" ref="P4:P37" si="4">(O4-N4)/N4*100</f>
        <v>21.648160044048819</v>
      </c>
      <c r="Q4" s="7">
        <f t="shared" ref="Q4:Q37" si="5">O4-N4</f>
        <v>1.1795</v>
      </c>
      <c r="R4" s="7">
        <v>72521.5</v>
      </c>
      <c r="S4" s="7">
        <v>70606</v>
      </c>
      <c r="T4" s="7">
        <f t="shared" ref="T4:T37" si="6">(S4-R4)/R4*100</f>
        <v>-2.6412856876926152</v>
      </c>
      <c r="U4" s="7">
        <f t="shared" ref="U4:U37" si="7">S4-R4</f>
        <v>-1915.5</v>
      </c>
      <c r="V4" s="7">
        <v>22.97</v>
      </c>
      <c r="W4" s="7">
        <v>25.071999999999999</v>
      </c>
      <c r="X4" s="7">
        <f t="shared" ref="X4:X36" si="8">(W4-V4)/V4*100</f>
        <v>9.1510666086199421</v>
      </c>
      <c r="Y4" s="7">
        <f t="shared" ref="Y4:Y36" si="9">W4-V4</f>
        <v>2.1020000000000003</v>
      </c>
      <c r="Z4" s="7">
        <v>5.2149999999999999</v>
      </c>
      <c r="AA4" s="7">
        <v>6.1189999999999998</v>
      </c>
      <c r="AB4" s="7">
        <f t="shared" ref="AB4:AB36" si="10">(AA4-Z4)/Z4*100</f>
        <v>17.334611697027803</v>
      </c>
      <c r="AC4" s="7">
        <f t="shared" ref="AC4:AC36" si="11">AA4-Z4</f>
        <v>0.90399999999999991</v>
      </c>
    </row>
    <row r="5" spans="1:29" ht="18.5" customHeight="1" x14ac:dyDescent="0.35">
      <c r="A5" s="27"/>
      <c r="B5" s="20" t="s">
        <v>5</v>
      </c>
      <c r="C5" s="7" t="s">
        <v>6</v>
      </c>
      <c r="D5" s="7" t="s">
        <v>82</v>
      </c>
      <c r="E5" s="7" t="s">
        <v>84</v>
      </c>
      <c r="F5" s="7">
        <v>20.580500000000001</v>
      </c>
      <c r="G5" s="7">
        <v>21.036000000000001</v>
      </c>
      <c r="H5" s="7">
        <f t="shared" si="0"/>
        <v>2.2132601248754922</v>
      </c>
      <c r="I5" s="7">
        <f t="shared" si="1"/>
        <v>0.45550000000000068</v>
      </c>
      <c r="J5" s="7">
        <v>55732.5</v>
      </c>
      <c r="K5" s="7">
        <v>55475</v>
      </c>
      <c r="L5" s="7">
        <f t="shared" si="2"/>
        <v>-0.46202843942044586</v>
      </c>
      <c r="M5" s="7">
        <f t="shared" si="3"/>
        <v>-257.5</v>
      </c>
      <c r="N5" s="7">
        <v>5.0644999999999998</v>
      </c>
      <c r="O5" s="7">
        <v>5.3019999999999996</v>
      </c>
      <c r="P5" s="7">
        <f t="shared" si="4"/>
        <v>4.689505380590381</v>
      </c>
      <c r="Q5" s="7">
        <f t="shared" si="5"/>
        <v>0.23749999999999982</v>
      </c>
      <c r="R5" s="7">
        <v>62618</v>
      </c>
      <c r="S5" s="7">
        <v>65956</v>
      </c>
      <c r="T5" s="7">
        <f t="shared" si="6"/>
        <v>5.3307355712414957</v>
      </c>
      <c r="U5" s="7">
        <f t="shared" si="7"/>
        <v>3338</v>
      </c>
      <c r="V5" s="7">
        <v>20.766500000000001</v>
      </c>
      <c r="W5" s="7">
        <v>17.861999999999998</v>
      </c>
      <c r="X5" s="7">
        <f t="shared" si="8"/>
        <v>-13.986468591240712</v>
      </c>
      <c r="Y5" s="7">
        <f t="shared" si="9"/>
        <v>-2.9045000000000023</v>
      </c>
      <c r="Z5" s="7">
        <v>6.8365</v>
      </c>
      <c r="AA5" s="7">
        <v>10.775</v>
      </c>
      <c r="AB5" s="7">
        <f t="shared" si="10"/>
        <v>57.609888100636297</v>
      </c>
      <c r="AC5" s="7">
        <f t="shared" si="11"/>
        <v>3.9385000000000003</v>
      </c>
    </row>
    <row r="6" spans="1:29" ht="18.5" customHeight="1" x14ac:dyDescent="0.35">
      <c r="A6" s="27"/>
      <c r="B6" s="20" t="s">
        <v>7</v>
      </c>
      <c r="C6" s="7" t="s">
        <v>8</v>
      </c>
      <c r="D6" s="7" t="s">
        <v>82</v>
      </c>
      <c r="E6" s="7" t="s">
        <v>84</v>
      </c>
      <c r="F6" s="7">
        <v>21.952999999999999</v>
      </c>
      <c r="G6" s="7">
        <v>28.346</v>
      </c>
      <c r="H6" s="7">
        <f t="shared" si="0"/>
        <v>29.12130460529313</v>
      </c>
      <c r="I6" s="7">
        <f t="shared" si="1"/>
        <v>6.3930000000000007</v>
      </c>
      <c r="J6" s="7">
        <v>71045</v>
      </c>
      <c r="K6" s="7">
        <v>72693</v>
      </c>
      <c r="L6" s="7">
        <f t="shared" si="2"/>
        <v>2.3196565557041313</v>
      </c>
      <c r="M6" s="7">
        <f t="shared" si="3"/>
        <v>1648</v>
      </c>
      <c r="N6" s="7">
        <v>5.4589999999999996</v>
      </c>
      <c r="O6" s="7">
        <v>7.0209999999999999</v>
      </c>
      <c r="P6" s="7">
        <f t="shared" si="4"/>
        <v>28.613299139036464</v>
      </c>
      <c r="Q6" s="7">
        <f t="shared" si="5"/>
        <v>1.5620000000000003</v>
      </c>
      <c r="R6" s="7">
        <v>76362.5</v>
      </c>
      <c r="S6" s="7">
        <v>87259</v>
      </c>
      <c r="T6" s="7">
        <f t="shared" si="6"/>
        <v>14.269438533311508</v>
      </c>
      <c r="U6" s="7">
        <f t="shared" si="7"/>
        <v>10896.5</v>
      </c>
      <c r="V6" s="7" t="s">
        <v>75</v>
      </c>
      <c r="W6" s="7" t="s">
        <v>75</v>
      </c>
      <c r="X6" s="7" t="s">
        <v>75</v>
      </c>
      <c r="Y6" s="7" t="s">
        <v>75</v>
      </c>
      <c r="Z6" s="7" t="s">
        <v>75</v>
      </c>
      <c r="AA6" s="7" t="s">
        <v>75</v>
      </c>
      <c r="AB6" s="7" t="s">
        <v>75</v>
      </c>
      <c r="AC6" s="7" t="s">
        <v>75</v>
      </c>
    </row>
    <row r="7" spans="1:29" ht="18.5" customHeight="1" x14ac:dyDescent="0.35">
      <c r="A7" s="27"/>
      <c r="B7" s="20" t="s">
        <v>9</v>
      </c>
      <c r="C7" s="7" t="s">
        <v>10</v>
      </c>
      <c r="D7" s="7" t="s">
        <v>81</v>
      </c>
      <c r="E7" s="7" t="s">
        <v>85</v>
      </c>
      <c r="F7" s="7">
        <v>16.450500000000002</v>
      </c>
      <c r="G7" s="7">
        <v>17.207000000000001</v>
      </c>
      <c r="H7" s="7">
        <f t="shared" si="0"/>
        <v>4.5986444181027863</v>
      </c>
      <c r="I7" s="7">
        <f t="shared" si="1"/>
        <v>0.75649999999999906</v>
      </c>
      <c r="J7" s="7">
        <v>48835.5</v>
      </c>
      <c r="K7" s="7">
        <v>48530</v>
      </c>
      <c r="L7" s="7">
        <f t="shared" si="2"/>
        <v>-0.62556951398060834</v>
      </c>
      <c r="M7" s="7">
        <f t="shared" si="3"/>
        <v>-305.5</v>
      </c>
      <c r="N7" s="7">
        <v>3.597</v>
      </c>
      <c r="O7" s="7">
        <v>4.4829999999999997</v>
      </c>
      <c r="P7" s="7">
        <f t="shared" si="4"/>
        <v>24.631637475674165</v>
      </c>
      <c r="Q7" s="7">
        <f t="shared" si="5"/>
        <v>0.88599999999999968</v>
      </c>
      <c r="R7" s="7">
        <v>59141.5</v>
      </c>
      <c r="S7" s="7">
        <v>57186</v>
      </c>
      <c r="T7" s="7">
        <f t="shared" si="6"/>
        <v>-3.3064768394443833</v>
      </c>
      <c r="U7" s="7">
        <f t="shared" si="7"/>
        <v>-1955.5</v>
      </c>
      <c r="V7" s="7">
        <v>16.298000000000002</v>
      </c>
      <c r="W7" s="7">
        <v>12.231999999999999</v>
      </c>
      <c r="X7" s="7">
        <f t="shared" si="8"/>
        <v>-24.947846361516763</v>
      </c>
      <c r="Y7" s="7">
        <f t="shared" si="9"/>
        <v>-4.0660000000000025</v>
      </c>
      <c r="Z7" s="7">
        <v>7.5200000000000005</v>
      </c>
      <c r="AA7" s="7">
        <v>8.9960000000000004</v>
      </c>
      <c r="AB7" s="7">
        <f t="shared" si="10"/>
        <v>19.627659574468083</v>
      </c>
      <c r="AC7" s="7">
        <f t="shared" si="11"/>
        <v>1.476</v>
      </c>
    </row>
    <row r="8" spans="1:29" ht="18.5" customHeight="1" x14ac:dyDescent="0.35">
      <c r="A8" s="27"/>
      <c r="B8" s="20" t="s">
        <v>11</v>
      </c>
      <c r="C8" s="7" t="s">
        <v>12</v>
      </c>
      <c r="D8" s="7" t="s">
        <v>81</v>
      </c>
      <c r="E8" s="7" t="s">
        <v>84</v>
      </c>
      <c r="F8" s="7">
        <v>14.401</v>
      </c>
      <c r="G8" s="7">
        <v>16.864999999999998</v>
      </c>
      <c r="H8" s="7">
        <f t="shared" si="0"/>
        <v>17.109922922019294</v>
      </c>
      <c r="I8" s="7">
        <f t="shared" si="1"/>
        <v>2.4639999999999986</v>
      </c>
      <c r="J8" s="7">
        <v>74915.5</v>
      </c>
      <c r="K8" s="7">
        <v>76529</v>
      </c>
      <c r="L8" s="7">
        <f t="shared" si="2"/>
        <v>2.1537599028238481</v>
      </c>
      <c r="M8" s="7">
        <f t="shared" si="3"/>
        <v>1613.5</v>
      </c>
      <c r="N8" s="7">
        <v>4.7264999999999997</v>
      </c>
      <c r="O8" s="7">
        <v>6.2270000000000003</v>
      </c>
      <c r="P8" s="7">
        <f t="shared" si="4"/>
        <v>31.746535491378413</v>
      </c>
      <c r="Q8" s="7">
        <f t="shared" si="5"/>
        <v>1.5005000000000006</v>
      </c>
      <c r="R8" s="7">
        <v>86743</v>
      </c>
      <c r="S8" s="7">
        <v>78117</v>
      </c>
      <c r="T8" s="7">
        <f t="shared" si="6"/>
        <v>-9.944318273520631</v>
      </c>
      <c r="U8" s="7">
        <f t="shared" si="7"/>
        <v>-8626</v>
      </c>
      <c r="V8" s="7">
        <v>17.196000000000002</v>
      </c>
      <c r="W8" s="7">
        <v>16.126999999999999</v>
      </c>
      <c r="X8" s="7">
        <f t="shared" si="8"/>
        <v>-6.2165619911607495</v>
      </c>
      <c r="Y8" s="7">
        <f t="shared" si="9"/>
        <v>-1.0690000000000026</v>
      </c>
      <c r="Z8" s="7">
        <v>7.9989999999999997</v>
      </c>
      <c r="AA8" s="7">
        <v>7.6260000000000003</v>
      </c>
      <c r="AB8" s="7">
        <f t="shared" si="10"/>
        <v>-4.6630828853606623</v>
      </c>
      <c r="AC8" s="7">
        <f t="shared" si="11"/>
        <v>-0.37299999999999933</v>
      </c>
    </row>
    <row r="9" spans="1:29" ht="18.5" customHeight="1" x14ac:dyDescent="0.35">
      <c r="A9" s="27"/>
      <c r="B9" s="20" t="s">
        <v>13</v>
      </c>
      <c r="C9" s="7" t="s">
        <v>14</v>
      </c>
      <c r="D9" s="7" t="s">
        <v>81</v>
      </c>
      <c r="E9" s="7" t="s">
        <v>84</v>
      </c>
      <c r="F9" s="7">
        <v>21.663499999999999</v>
      </c>
      <c r="G9" s="7">
        <v>23.254000000000001</v>
      </c>
      <c r="H9" s="7">
        <f t="shared" si="0"/>
        <v>7.3418422692547471</v>
      </c>
      <c r="I9" s="7">
        <f t="shared" si="1"/>
        <v>1.5905000000000022</v>
      </c>
      <c r="J9" s="7">
        <v>65596</v>
      </c>
      <c r="K9" s="7">
        <v>67157</v>
      </c>
      <c r="L9" s="7">
        <f t="shared" si="2"/>
        <v>2.379718275504604</v>
      </c>
      <c r="M9" s="7">
        <f t="shared" si="3"/>
        <v>1561</v>
      </c>
      <c r="N9" s="7">
        <v>5.7249999999999996</v>
      </c>
      <c r="O9" s="7">
        <v>5.7279999999999998</v>
      </c>
      <c r="P9" s="7">
        <f t="shared" si="4"/>
        <v>5.2401746724892825E-2</v>
      </c>
      <c r="Q9" s="7">
        <f t="shared" si="5"/>
        <v>3.0000000000001137E-3</v>
      </c>
      <c r="R9" s="7">
        <v>63114</v>
      </c>
      <c r="S9" s="7">
        <v>64713</v>
      </c>
      <c r="T9" s="7">
        <f t="shared" si="6"/>
        <v>2.5335107899990494</v>
      </c>
      <c r="U9" s="7">
        <f t="shared" si="7"/>
        <v>1599</v>
      </c>
      <c r="V9" s="7">
        <v>20.509499999999999</v>
      </c>
      <c r="W9" s="7">
        <v>16.902000000000001</v>
      </c>
      <c r="X9" s="7">
        <f t="shared" si="8"/>
        <v>-17.589409785709055</v>
      </c>
      <c r="Y9" s="7">
        <f t="shared" si="9"/>
        <v>-3.6074999999999982</v>
      </c>
      <c r="Z9" s="7">
        <v>6.3540000000000001</v>
      </c>
      <c r="AA9" s="7">
        <v>8.8409999999999993</v>
      </c>
      <c r="AB9" s="7">
        <f t="shared" si="10"/>
        <v>39.140698772426809</v>
      </c>
      <c r="AC9" s="7">
        <f t="shared" si="11"/>
        <v>2.4869999999999992</v>
      </c>
    </row>
    <row r="10" spans="1:29" ht="18.5" customHeight="1" x14ac:dyDescent="0.35">
      <c r="A10" s="27"/>
      <c r="B10" s="20" t="s">
        <v>15</v>
      </c>
      <c r="C10" s="7" t="s">
        <v>16</v>
      </c>
      <c r="D10" s="7" t="s">
        <v>82</v>
      </c>
      <c r="E10" s="7" t="s">
        <v>85</v>
      </c>
      <c r="F10" s="7">
        <v>23.021999999999998</v>
      </c>
      <c r="G10" s="7">
        <v>32.639000000000003</v>
      </c>
      <c r="H10" s="7">
        <f t="shared" si="0"/>
        <v>41.773086612805166</v>
      </c>
      <c r="I10" s="7">
        <f t="shared" si="1"/>
        <v>9.6170000000000044</v>
      </c>
      <c r="J10" s="7">
        <v>64461.5</v>
      </c>
      <c r="K10" s="7">
        <v>59087</v>
      </c>
      <c r="L10" s="7">
        <f t="shared" si="2"/>
        <v>-8.3375348075983329</v>
      </c>
      <c r="M10" s="7">
        <f t="shared" si="3"/>
        <v>-5374.5</v>
      </c>
      <c r="N10" s="7">
        <v>3.3565</v>
      </c>
      <c r="O10" s="7">
        <v>8.2289999999999992</v>
      </c>
      <c r="P10" s="7">
        <f t="shared" si="4"/>
        <v>145.16609563533439</v>
      </c>
      <c r="Q10" s="7">
        <f t="shared" si="5"/>
        <v>4.8724999999999987</v>
      </c>
      <c r="R10" s="7">
        <v>59417</v>
      </c>
      <c r="S10" s="7">
        <v>57941</v>
      </c>
      <c r="T10" s="7">
        <f t="shared" si="6"/>
        <v>-2.4841375363953078</v>
      </c>
      <c r="U10" s="7">
        <f t="shared" si="7"/>
        <v>-1476</v>
      </c>
      <c r="V10" s="7">
        <v>20.445500000000003</v>
      </c>
      <c r="W10" s="7">
        <v>20.853999999999999</v>
      </c>
      <c r="X10" s="7">
        <f t="shared" si="8"/>
        <v>1.9979946687534982</v>
      </c>
      <c r="Y10" s="7">
        <f t="shared" si="9"/>
        <v>0.40849999999999653</v>
      </c>
      <c r="Z10" s="7">
        <v>11.993500000000001</v>
      </c>
      <c r="AA10" s="7">
        <v>9.5980000000000008</v>
      </c>
      <c r="AB10" s="7">
        <f t="shared" si="10"/>
        <v>-19.973318881060575</v>
      </c>
      <c r="AC10" s="7">
        <f t="shared" si="11"/>
        <v>-2.3955000000000002</v>
      </c>
    </row>
    <row r="11" spans="1:29" ht="18.5" customHeight="1" x14ac:dyDescent="0.35">
      <c r="A11" s="27"/>
      <c r="B11" s="20" t="s">
        <v>17</v>
      </c>
      <c r="C11" s="7" t="s">
        <v>18</v>
      </c>
      <c r="D11" s="7" t="s">
        <v>82</v>
      </c>
      <c r="E11" s="7" t="s">
        <v>85</v>
      </c>
      <c r="F11" s="7">
        <v>15.7745</v>
      </c>
      <c r="G11" s="7">
        <v>15.933</v>
      </c>
      <c r="H11" s="7">
        <f t="shared" si="0"/>
        <v>1.0047862055849637</v>
      </c>
      <c r="I11" s="7">
        <f t="shared" si="1"/>
        <v>0.15850000000000009</v>
      </c>
      <c r="J11" s="7">
        <v>75977</v>
      </c>
      <c r="K11" s="7">
        <v>66249</v>
      </c>
      <c r="L11" s="7">
        <f t="shared" si="2"/>
        <v>-12.803874856864578</v>
      </c>
      <c r="M11" s="7">
        <f t="shared" si="3"/>
        <v>-9728</v>
      </c>
      <c r="N11" s="7">
        <v>4.6109999999999998</v>
      </c>
      <c r="O11" s="7">
        <v>3.7370000000000001</v>
      </c>
      <c r="P11" s="7">
        <f t="shared" si="4"/>
        <v>-18.954673606592923</v>
      </c>
      <c r="Q11" s="7">
        <f t="shared" si="5"/>
        <v>-0.87399999999999967</v>
      </c>
      <c r="R11" s="7">
        <v>70588.5</v>
      </c>
      <c r="S11" s="7">
        <v>70760</v>
      </c>
      <c r="T11" s="7">
        <f t="shared" si="6"/>
        <v>0.24295742224299993</v>
      </c>
      <c r="U11" s="7">
        <f t="shared" si="7"/>
        <v>171.5</v>
      </c>
      <c r="V11" s="7">
        <v>13.968499999999999</v>
      </c>
      <c r="W11" s="7">
        <v>17.178000000000001</v>
      </c>
      <c r="X11" s="7">
        <f t="shared" si="8"/>
        <v>22.976697569531463</v>
      </c>
      <c r="Y11" s="7">
        <f t="shared" si="9"/>
        <v>3.209500000000002</v>
      </c>
      <c r="Z11" s="7">
        <v>8.2279999999999998</v>
      </c>
      <c r="AA11" s="7">
        <v>7.5869999999999997</v>
      </c>
      <c r="AB11" s="7">
        <f t="shared" si="10"/>
        <v>-7.7904715605250363</v>
      </c>
      <c r="AC11" s="7">
        <f t="shared" si="11"/>
        <v>-0.64100000000000001</v>
      </c>
    </row>
    <row r="12" spans="1:29" ht="18.5" customHeight="1" x14ac:dyDescent="0.35">
      <c r="A12" s="27"/>
      <c r="B12" s="20" t="s">
        <v>19</v>
      </c>
      <c r="C12" s="7" t="s">
        <v>20</v>
      </c>
      <c r="D12" s="7" t="s">
        <v>82</v>
      </c>
      <c r="E12" s="7" t="s">
        <v>84</v>
      </c>
      <c r="F12" s="7">
        <v>14.929500000000001</v>
      </c>
      <c r="G12" s="7">
        <v>15.551</v>
      </c>
      <c r="H12" s="7">
        <f t="shared" si="0"/>
        <v>4.162898958437987</v>
      </c>
      <c r="I12" s="7">
        <f t="shared" si="1"/>
        <v>0.62149999999999928</v>
      </c>
      <c r="J12" s="7">
        <v>49725</v>
      </c>
      <c r="K12" s="7">
        <v>47323</v>
      </c>
      <c r="L12" s="7">
        <f t="shared" si="2"/>
        <v>-4.8305681246857715</v>
      </c>
      <c r="M12" s="7">
        <f t="shared" si="3"/>
        <v>-2402</v>
      </c>
      <c r="N12" s="7">
        <v>4.0039999999999996</v>
      </c>
      <c r="O12" s="7">
        <v>5.2409999999999997</v>
      </c>
      <c r="P12" s="7">
        <f t="shared" si="4"/>
        <v>30.894105894105898</v>
      </c>
      <c r="Q12" s="7">
        <f t="shared" si="5"/>
        <v>1.2370000000000001</v>
      </c>
      <c r="R12" s="7">
        <v>58696</v>
      </c>
      <c r="S12" s="7">
        <v>42267</v>
      </c>
      <c r="T12" s="7">
        <f t="shared" si="6"/>
        <v>-27.989982281586478</v>
      </c>
      <c r="U12" s="7">
        <f t="shared" si="7"/>
        <v>-16429</v>
      </c>
      <c r="V12" s="7" t="s">
        <v>75</v>
      </c>
      <c r="W12" s="7" t="s">
        <v>75</v>
      </c>
      <c r="X12" s="7" t="s">
        <v>75</v>
      </c>
      <c r="Y12" s="7" t="s">
        <v>75</v>
      </c>
      <c r="Z12" s="7" t="s">
        <v>75</v>
      </c>
      <c r="AA12" s="7" t="s">
        <v>75</v>
      </c>
      <c r="AB12" s="7" t="s">
        <v>75</v>
      </c>
      <c r="AC12" s="7" t="s">
        <v>75</v>
      </c>
    </row>
    <row r="13" spans="1:29" ht="18.5" customHeight="1" x14ac:dyDescent="0.35">
      <c r="A13" s="27"/>
      <c r="B13" s="20" t="s">
        <v>21</v>
      </c>
      <c r="C13" s="7" t="s">
        <v>22</v>
      </c>
      <c r="D13" s="7" t="s">
        <v>82</v>
      </c>
      <c r="E13" s="7" t="s">
        <v>85</v>
      </c>
      <c r="F13" s="7">
        <v>20.353000000000002</v>
      </c>
      <c r="G13" s="7">
        <v>22.59</v>
      </c>
      <c r="H13" s="7">
        <f t="shared" si="0"/>
        <v>10.991008696506649</v>
      </c>
      <c r="I13" s="7">
        <f t="shared" si="1"/>
        <v>2.2369999999999983</v>
      </c>
      <c r="J13" s="7">
        <v>61979</v>
      </c>
      <c r="K13" s="7">
        <v>66502</v>
      </c>
      <c r="L13" s="7">
        <f t="shared" si="2"/>
        <v>7.2976330692653963</v>
      </c>
      <c r="M13" s="7">
        <f t="shared" si="3"/>
        <v>4523</v>
      </c>
      <c r="N13" s="7">
        <v>6.1870000000000003</v>
      </c>
      <c r="O13" s="7">
        <v>7.8769999999999998</v>
      </c>
      <c r="P13" s="7">
        <f t="shared" si="4"/>
        <v>27.315338613221265</v>
      </c>
      <c r="Q13" s="7">
        <f t="shared" si="5"/>
        <v>1.6899999999999995</v>
      </c>
      <c r="R13" s="7">
        <v>75891.5</v>
      </c>
      <c r="S13" s="7">
        <v>75943</v>
      </c>
      <c r="T13" s="7">
        <f t="shared" si="6"/>
        <v>6.7860037026544473E-2</v>
      </c>
      <c r="U13" s="7">
        <f t="shared" si="7"/>
        <v>51.5</v>
      </c>
      <c r="V13" s="7">
        <v>12.504</v>
      </c>
      <c r="W13" s="7">
        <v>19.202000000000002</v>
      </c>
      <c r="X13" s="7">
        <f t="shared" si="8"/>
        <v>53.566858605246338</v>
      </c>
      <c r="Y13" s="7">
        <f t="shared" si="9"/>
        <v>6.6980000000000022</v>
      </c>
      <c r="Z13" s="7">
        <v>10.218</v>
      </c>
      <c r="AA13" s="7">
        <v>8.42</v>
      </c>
      <c r="AB13" s="7">
        <f t="shared" si="10"/>
        <v>-17.596398512429047</v>
      </c>
      <c r="AC13" s="7">
        <f t="shared" si="11"/>
        <v>-1.798</v>
      </c>
    </row>
    <row r="14" spans="1:29" ht="18.5" customHeight="1" x14ac:dyDescent="0.35">
      <c r="A14" s="27"/>
      <c r="B14" s="20" t="s">
        <v>23</v>
      </c>
      <c r="C14" s="7" t="s">
        <v>24</v>
      </c>
      <c r="D14" s="7" t="s">
        <v>81</v>
      </c>
      <c r="E14" s="7" t="s">
        <v>84</v>
      </c>
      <c r="F14" s="7">
        <v>24.047499999999999</v>
      </c>
      <c r="G14" s="7">
        <v>29.158999999999999</v>
      </c>
      <c r="H14" s="7">
        <f t="shared" si="0"/>
        <v>21.255847801226739</v>
      </c>
      <c r="I14" s="7">
        <f t="shared" si="1"/>
        <v>5.1114999999999995</v>
      </c>
      <c r="J14" s="7">
        <v>64492</v>
      </c>
      <c r="K14" s="7">
        <v>59650</v>
      </c>
      <c r="L14" s="7">
        <f t="shared" si="2"/>
        <v>-7.5079079575761334</v>
      </c>
      <c r="M14" s="7">
        <f t="shared" si="3"/>
        <v>-4842</v>
      </c>
      <c r="N14" s="7">
        <v>7.343</v>
      </c>
      <c r="O14" s="7">
        <v>10.712999999999999</v>
      </c>
      <c r="P14" s="7">
        <f t="shared" si="4"/>
        <v>45.894048753915285</v>
      </c>
      <c r="Q14" s="7">
        <f t="shared" si="5"/>
        <v>3.3699999999999992</v>
      </c>
      <c r="R14" s="7">
        <v>69265.5</v>
      </c>
      <c r="S14" s="7">
        <v>72633</v>
      </c>
      <c r="T14" s="7">
        <f t="shared" si="6"/>
        <v>4.8617276999371981</v>
      </c>
      <c r="U14" s="7">
        <f t="shared" si="7"/>
        <v>3367.5</v>
      </c>
      <c r="V14" s="7">
        <v>17.433</v>
      </c>
      <c r="W14" s="7">
        <v>18.599</v>
      </c>
      <c r="X14" s="7">
        <f t="shared" si="8"/>
        <v>6.6884644065852132</v>
      </c>
      <c r="Y14" s="7">
        <f t="shared" si="9"/>
        <v>1.1660000000000004</v>
      </c>
      <c r="Z14" s="7">
        <v>8.2379999999999995</v>
      </c>
      <c r="AA14" s="7">
        <v>8.8529999999999998</v>
      </c>
      <c r="AB14" s="7">
        <f t="shared" si="10"/>
        <v>7.4654042243262957</v>
      </c>
      <c r="AC14" s="7">
        <f t="shared" si="11"/>
        <v>0.61500000000000021</v>
      </c>
    </row>
    <row r="15" spans="1:29" ht="18.5" customHeight="1" x14ac:dyDescent="0.35">
      <c r="A15" s="27"/>
      <c r="B15" s="20" t="s">
        <v>25</v>
      </c>
      <c r="C15" s="7" t="s">
        <v>26</v>
      </c>
      <c r="D15" s="7" t="s">
        <v>82</v>
      </c>
      <c r="E15" s="7" t="s">
        <v>85</v>
      </c>
      <c r="F15" s="7">
        <v>17.630500000000001</v>
      </c>
      <c r="G15" s="7">
        <v>19.670999999999999</v>
      </c>
      <c r="H15" s="7">
        <f t="shared" si="0"/>
        <v>11.573693315561089</v>
      </c>
      <c r="I15" s="7">
        <f t="shared" si="1"/>
        <v>2.040499999999998</v>
      </c>
      <c r="J15" s="7">
        <v>56983</v>
      </c>
      <c r="K15" s="7">
        <v>56715</v>
      </c>
      <c r="L15" s="7">
        <f t="shared" si="2"/>
        <v>-0.4703157081936718</v>
      </c>
      <c r="M15" s="7">
        <f t="shared" si="3"/>
        <v>-268</v>
      </c>
      <c r="N15" s="7">
        <v>2.9155000000000002</v>
      </c>
      <c r="O15" s="7">
        <v>3.758</v>
      </c>
      <c r="P15" s="7">
        <f t="shared" si="4"/>
        <v>28.897273194992273</v>
      </c>
      <c r="Q15" s="7">
        <f t="shared" si="5"/>
        <v>0.8424999999999998</v>
      </c>
      <c r="R15" s="7">
        <v>60604</v>
      </c>
      <c r="S15" s="7">
        <v>63743</v>
      </c>
      <c r="T15" s="7">
        <f t="shared" si="6"/>
        <v>5.1795261038875324</v>
      </c>
      <c r="U15" s="7">
        <f t="shared" si="7"/>
        <v>3139</v>
      </c>
      <c r="V15" s="7">
        <v>15.952500000000001</v>
      </c>
      <c r="W15" s="7">
        <v>13.262</v>
      </c>
      <c r="X15" s="7">
        <f t="shared" si="8"/>
        <v>-16.865695032126627</v>
      </c>
      <c r="Y15" s="7">
        <f t="shared" si="9"/>
        <v>-2.6905000000000001</v>
      </c>
      <c r="Z15" s="7">
        <v>7.0625</v>
      </c>
      <c r="AA15" s="7">
        <v>8.9350000000000005</v>
      </c>
      <c r="AB15" s="7">
        <f t="shared" si="10"/>
        <v>26.513274336283192</v>
      </c>
      <c r="AC15" s="7">
        <f t="shared" si="11"/>
        <v>1.8725000000000005</v>
      </c>
    </row>
    <row r="16" spans="1:29" ht="18.5" customHeight="1" x14ac:dyDescent="0.35">
      <c r="A16" s="27"/>
      <c r="B16" s="20" t="s">
        <v>27</v>
      </c>
      <c r="C16" s="7" t="s">
        <v>28</v>
      </c>
      <c r="D16" s="7" t="s">
        <v>82</v>
      </c>
      <c r="E16" s="7" t="s">
        <v>85</v>
      </c>
      <c r="F16" s="7">
        <v>34.24</v>
      </c>
      <c r="G16" s="7">
        <v>38.335000000000001</v>
      </c>
      <c r="H16" s="7">
        <f t="shared" si="0"/>
        <v>11.959696261682238</v>
      </c>
      <c r="I16" s="7">
        <f t="shared" si="1"/>
        <v>4.0949999999999989</v>
      </c>
      <c r="J16" s="7">
        <v>60150</v>
      </c>
      <c r="K16" s="7">
        <v>59668</v>
      </c>
      <c r="L16" s="7">
        <f t="shared" si="2"/>
        <v>-0.80133000831255197</v>
      </c>
      <c r="M16" s="7">
        <f t="shared" si="3"/>
        <v>-482</v>
      </c>
      <c r="N16" s="7">
        <v>8.1460000000000008</v>
      </c>
      <c r="O16" s="7">
        <v>9.2360000000000007</v>
      </c>
      <c r="P16" s="7">
        <f t="shared" si="4"/>
        <v>13.380800392830835</v>
      </c>
      <c r="Q16" s="7">
        <f t="shared" si="5"/>
        <v>1.0899999999999999</v>
      </c>
      <c r="R16" s="7">
        <v>63754</v>
      </c>
      <c r="S16" s="7">
        <v>54367</v>
      </c>
      <c r="T16" s="7">
        <f t="shared" si="6"/>
        <v>-14.72378203720551</v>
      </c>
      <c r="U16" s="7">
        <f t="shared" si="7"/>
        <v>-9387</v>
      </c>
      <c r="V16" s="7">
        <v>14.898</v>
      </c>
      <c r="W16" s="7">
        <v>19.363</v>
      </c>
      <c r="X16" s="7">
        <f t="shared" si="8"/>
        <v>29.970465834340182</v>
      </c>
      <c r="Y16" s="7">
        <f t="shared" si="9"/>
        <v>4.4649999999999999</v>
      </c>
      <c r="Z16" s="7">
        <v>13.9885</v>
      </c>
      <c r="AA16" s="7">
        <v>12.045</v>
      </c>
      <c r="AB16" s="7">
        <f t="shared" si="10"/>
        <v>-13.893555420524004</v>
      </c>
      <c r="AC16" s="7">
        <f t="shared" si="11"/>
        <v>-1.9435000000000002</v>
      </c>
    </row>
    <row r="17" spans="1:29" ht="18.5" customHeight="1" x14ac:dyDescent="0.35">
      <c r="A17" s="27"/>
      <c r="B17" s="20" t="s">
        <v>29</v>
      </c>
      <c r="C17" s="7" t="s">
        <v>30</v>
      </c>
      <c r="D17" s="7" t="s">
        <v>82</v>
      </c>
      <c r="E17" s="7" t="s">
        <v>85</v>
      </c>
      <c r="F17" s="7">
        <v>30.332999999999998</v>
      </c>
      <c r="G17" s="7">
        <v>28.248999999999999</v>
      </c>
      <c r="H17" s="7">
        <f t="shared" si="0"/>
        <v>-6.8704051692875732</v>
      </c>
      <c r="I17" s="7">
        <f t="shared" si="1"/>
        <v>-2.0839999999999996</v>
      </c>
      <c r="J17" s="7">
        <v>76942</v>
      </c>
      <c r="K17" s="7">
        <v>73815</v>
      </c>
      <c r="L17" s="7">
        <f t="shared" si="2"/>
        <v>-4.0641002313430894</v>
      </c>
      <c r="M17" s="7">
        <f t="shared" si="3"/>
        <v>-3127</v>
      </c>
      <c r="N17" s="7">
        <v>9.8670000000000009</v>
      </c>
      <c r="O17" s="7">
        <v>9.0020000000000007</v>
      </c>
      <c r="P17" s="7">
        <f t="shared" si="4"/>
        <v>-8.7665957231174634</v>
      </c>
      <c r="Q17" s="7">
        <f t="shared" si="5"/>
        <v>-0.86500000000000021</v>
      </c>
      <c r="R17" s="7">
        <v>86235</v>
      </c>
      <c r="S17" s="7">
        <v>79110</v>
      </c>
      <c r="T17" s="7">
        <f t="shared" si="6"/>
        <v>-8.2623064880848851</v>
      </c>
      <c r="U17" s="7">
        <f t="shared" si="7"/>
        <v>-7125</v>
      </c>
      <c r="V17" s="7" t="s">
        <v>75</v>
      </c>
      <c r="W17" s="7" t="s">
        <v>75</v>
      </c>
      <c r="X17" s="7" t="s">
        <v>75</v>
      </c>
      <c r="Y17" s="7" t="s">
        <v>75</v>
      </c>
      <c r="Z17" s="7" t="s">
        <v>75</v>
      </c>
      <c r="AA17" s="7" t="s">
        <v>75</v>
      </c>
      <c r="AB17" s="7" t="s">
        <v>75</v>
      </c>
      <c r="AC17" s="7" t="s">
        <v>75</v>
      </c>
    </row>
    <row r="18" spans="1:29" ht="18.5" customHeight="1" x14ac:dyDescent="0.35">
      <c r="A18" s="27"/>
      <c r="B18" s="20" t="s">
        <v>31</v>
      </c>
      <c r="C18" s="7" t="s">
        <v>32</v>
      </c>
      <c r="D18" s="7" t="s">
        <v>81</v>
      </c>
      <c r="E18" s="7" t="s">
        <v>84</v>
      </c>
      <c r="F18" s="7">
        <v>17.175000000000001</v>
      </c>
      <c r="G18" s="7">
        <v>19.763999999999999</v>
      </c>
      <c r="H18" s="7">
        <f t="shared" si="0"/>
        <v>15.074235807860253</v>
      </c>
      <c r="I18" s="7">
        <f t="shared" si="1"/>
        <v>2.5889999999999986</v>
      </c>
      <c r="J18" s="7">
        <v>75002.5</v>
      </c>
      <c r="K18" s="7">
        <v>64438</v>
      </c>
      <c r="L18" s="7">
        <f t="shared" si="2"/>
        <v>-14.085530482317257</v>
      </c>
      <c r="M18" s="7">
        <f t="shared" si="3"/>
        <v>-10564.5</v>
      </c>
      <c r="N18" s="7">
        <v>4.6239999999999997</v>
      </c>
      <c r="O18" s="7">
        <v>6.5839999999999996</v>
      </c>
      <c r="P18" s="7">
        <f t="shared" si="4"/>
        <v>42.387543252595158</v>
      </c>
      <c r="Q18" s="7">
        <f t="shared" si="5"/>
        <v>1.96</v>
      </c>
      <c r="R18" s="7">
        <v>81502.5</v>
      </c>
      <c r="S18" s="7">
        <v>75978</v>
      </c>
      <c r="T18" s="7">
        <f t="shared" si="6"/>
        <v>-6.778319683445293</v>
      </c>
      <c r="U18" s="7">
        <f t="shared" si="7"/>
        <v>-5524.5</v>
      </c>
      <c r="V18" s="7">
        <v>20.597999999999999</v>
      </c>
      <c r="W18" s="7">
        <v>22.54</v>
      </c>
      <c r="X18" s="7">
        <f t="shared" si="8"/>
        <v>9.4280998155160702</v>
      </c>
      <c r="Y18" s="7">
        <f t="shared" si="9"/>
        <v>1.9420000000000002</v>
      </c>
      <c r="Z18" s="7">
        <v>6.09</v>
      </c>
      <c r="AA18" s="7">
        <v>5.7590000000000003</v>
      </c>
      <c r="AB18" s="7">
        <f t="shared" si="10"/>
        <v>-5.4351395730706002</v>
      </c>
      <c r="AC18" s="7">
        <f t="shared" si="11"/>
        <v>-0.33099999999999952</v>
      </c>
    </row>
    <row r="19" spans="1:29" ht="18.5" customHeight="1" x14ac:dyDescent="0.35">
      <c r="A19" s="27"/>
      <c r="B19" s="20" t="s">
        <v>33</v>
      </c>
      <c r="C19" s="7" t="s">
        <v>34</v>
      </c>
      <c r="D19" s="7" t="s">
        <v>82</v>
      </c>
      <c r="E19" s="7" t="s">
        <v>84</v>
      </c>
      <c r="F19" s="7">
        <v>16.151</v>
      </c>
      <c r="G19" s="7">
        <v>20.254000000000001</v>
      </c>
      <c r="H19" s="7">
        <f t="shared" si="0"/>
        <v>25.403999752337324</v>
      </c>
      <c r="I19" s="7">
        <f t="shared" si="1"/>
        <v>4.1030000000000015</v>
      </c>
      <c r="J19" s="7">
        <v>84342.5</v>
      </c>
      <c r="K19" s="7">
        <v>95521</v>
      </c>
      <c r="L19" s="7">
        <f t="shared" si="2"/>
        <v>13.25369772060349</v>
      </c>
      <c r="M19" s="7">
        <f t="shared" si="3"/>
        <v>11178.5</v>
      </c>
      <c r="N19" s="7">
        <v>4.1269999999999998</v>
      </c>
      <c r="O19" s="7">
        <v>5.5650000000000004</v>
      </c>
      <c r="P19" s="7">
        <f t="shared" si="4"/>
        <v>34.843712139568709</v>
      </c>
      <c r="Q19" s="7">
        <f t="shared" si="5"/>
        <v>1.4380000000000006</v>
      </c>
      <c r="R19" s="7">
        <v>83254.5</v>
      </c>
      <c r="S19" s="7">
        <v>92447</v>
      </c>
      <c r="T19" s="7">
        <f t="shared" si="6"/>
        <v>11.041445207165978</v>
      </c>
      <c r="U19" s="7">
        <f t="shared" si="7"/>
        <v>9192.5</v>
      </c>
      <c r="V19" s="7">
        <v>21.8185</v>
      </c>
      <c r="W19" s="7">
        <v>17.574999999999999</v>
      </c>
      <c r="X19" s="7">
        <f t="shared" si="8"/>
        <v>-19.449091367417562</v>
      </c>
      <c r="Y19" s="7">
        <f t="shared" si="9"/>
        <v>-4.2435000000000009</v>
      </c>
      <c r="Z19" s="7">
        <v>7.9320000000000004</v>
      </c>
      <c r="AA19" s="7">
        <v>8.859</v>
      </c>
      <c r="AB19" s="7">
        <f t="shared" si="10"/>
        <v>11.686838124054457</v>
      </c>
      <c r="AC19" s="7">
        <f t="shared" si="11"/>
        <v>0.9269999999999996</v>
      </c>
    </row>
    <row r="20" spans="1:29" ht="18.5" customHeight="1" x14ac:dyDescent="0.35">
      <c r="A20" s="27"/>
      <c r="B20" s="20" t="s">
        <v>35</v>
      </c>
      <c r="C20" s="7" t="s">
        <v>36</v>
      </c>
      <c r="D20" s="7" t="s">
        <v>81</v>
      </c>
      <c r="E20" s="7" t="s">
        <v>85</v>
      </c>
      <c r="F20" s="7">
        <v>25.427499999999998</v>
      </c>
      <c r="G20" s="7">
        <v>24.463999999999999</v>
      </c>
      <c r="H20" s="7">
        <f t="shared" si="0"/>
        <v>-3.7892046013174712</v>
      </c>
      <c r="I20" s="7">
        <f t="shared" si="1"/>
        <v>-0.9634999999999998</v>
      </c>
      <c r="J20" s="7">
        <v>52617.5</v>
      </c>
      <c r="K20" s="7">
        <v>47909</v>
      </c>
      <c r="L20" s="7">
        <f t="shared" si="2"/>
        <v>-8.948543735449233</v>
      </c>
      <c r="M20" s="7">
        <f t="shared" si="3"/>
        <v>-4708.5</v>
      </c>
      <c r="N20" s="7">
        <v>8.2904999999999998</v>
      </c>
      <c r="O20" s="7">
        <v>10.513999999999999</v>
      </c>
      <c r="P20" s="7">
        <f t="shared" si="4"/>
        <v>26.819854049816051</v>
      </c>
      <c r="Q20" s="7">
        <f t="shared" si="5"/>
        <v>2.2234999999999996</v>
      </c>
      <c r="R20" s="7">
        <v>60757</v>
      </c>
      <c r="S20" s="7">
        <v>57255</v>
      </c>
      <c r="T20" s="7">
        <f t="shared" si="6"/>
        <v>-5.7639448952384083</v>
      </c>
      <c r="U20" s="7">
        <f t="shared" si="7"/>
        <v>-3502</v>
      </c>
      <c r="V20" s="7">
        <v>13.3035</v>
      </c>
      <c r="W20" s="7">
        <v>12.502000000000001</v>
      </c>
      <c r="X20" s="7">
        <f t="shared" si="8"/>
        <v>-6.0247303341225917</v>
      </c>
      <c r="Y20" s="7">
        <f t="shared" si="9"/>
        <v>-0.80149999999999899</v>
      </c>
      <c r="Z20" s="7">
        <v>12.429</v>
      </c>
      <c r="AA20" s="7">
        <v>12.823</v>
      </c>
      <c r="AB20" s="7">
        <f t="shared" si="10"/>
        <v>3.1700056319897021</v>
      </c>
      <c r="AC20" s="7">
        <f t="shared" si="11"/>
        <v>0.39400000000000013</v>
      </c>
    </row>
    <row r="21" spans="1:29" ht="18.5" customHeight="1" x14ac:dyDescent="0.35">
      <c r="A21" s="27"/>
      <c r="B21" s="20" t="s">
        <v>37</v>
      </c>
      <c r="C21" s="7" t="s">
        <v>38</v>
      </c>
      <c r="D21" s="7" t="s">
        <v>81</v>
      </c>
      <c r="E21" s="7" t="s">
        <v>85</v>
      </c>
      <c r="F21" s="7">
        <v>23.558</v>
      </c>
      <c r="G21" s="7">
        <v>24.062999999999999</v>
      </c>
      <c r="H21" s="7">
        <f t="shared" si="0"/>
        <v>2.143645470753031</v>
      </c>
      <c r="I21" s="7">
        <f t="shared" si="1"/>
        <v>0.50499999999999901</v>
      </c>
      <c r="J21" s="7">
        <v>54505.5</v>
      </c>
      <c r="K21" s="7">
        <v>51732</v>
      </c>
      <c r="L21" s="7">
        <f t="shared" si="2"/>
        <v>-5.0884773096293037</v>
      </c>
      <c r="M21" s="7">
        <f t="shared" si="3"/>
        <v>-2773.5</v>
      </c>
      <c r="N21" s="7">
        <v>7.8384999999999998</v>
      </c>
      <c r="O21" s="7">
        <v>7.0890000000000004</v>
      </c>
      <c r="P21" s="7">
        <f t="shared" si="4"/>
        <v>-9.5617784014798666</v>
      </c>
      <c r="Q21" s="7">
        <f t="shared" si="5"/>
        <v>-0.74949999999999939</v>
      </c>
      <c r="R21" s="7">
        <v>69771.5</v>
      </c>
      <c r="S21" s="7">
        <v>66861</v>
      </c>
      <c r="T21" s="7">
        <f t="shared" si="6"/>
        <v>-4.1714740259274921</v>
      </c>
      <c r="U21" s="7">
        <f t="shared" si="7"/>
        <v>-2910.5</v>
      </c>
      <c r="V21" s="7">
        <v>17.743500000000001</v>
      </c>
      <c r="W21" s="7">
        <v>19.472000000000001</v>
      </c>
      <c r="X21" s="7">
        <f t="shared" si="8"/>
        <v>9.7415955138501449</v>
      </c>
      <c r="Y21" s="7">
        <f t="shared" si="9"/>
        <v>1.7285000000000004</v>
      </c>
      <c r="Z21" s="7">
        <v>8.5330000000000013</v>
      </c>
      <c r="AA21" s="7">
        <v>6.5540000000000003</v>
      </c>
      <c r="AB21" s="7">
        <f t="shared" si="10"/>
        <v>-23.192312199695309</v>
      </c>
      <c r="AC21" s="7">
        <f t="shared" si="11"/>
        <v>-1.979000000000001</v>
      </c>
    </row>
    <row r="22" spans="1:29" ht="18.5" customHeight="1" x14ac:dyDescent="0.35">
      <c r="A22" s="27"/>
      <c r="B22" s="20" t="s">
        <v>39</v>
      </c>
      <c r="C22" s="7" t="s">
        <v>40</v>
      </c>
      <c r="D22" s="7" t="s">
        <v>82</v>
      </c>
      <c r="E22" s="7" t="s">
        <v>85</v>
      </c>
      <c r="F22" s="7">
        <v>19.1785</v>
      </c>
      <c r="G22" s="7">
        <v>23.087</v>
      </c>
      <c r="H22" s="7">
        <f t="shared" si="0"/>
        <v>20.379591730323018</v>
      </c>
      <c r="I22" s="7">
        <f t="shared" si="1"/>
        <v>3.9085000000000001</v>
      </c>
      <c r="J22" s="7">
        <v>51465.5</v>
      </c>
      <c r="K22" s="7">
        <v>46801</v>
      </c>
      <c r="L22" s="7">
        <f t="shared" si="2"/>
        <v>-9.0633531200512962</v>
      </c>
      <c r="M22" s="7">
        <f t="shared" si="3"/>
        <v>-4664.5</v>
      </c>
      <c r="N22" s="7">
        <v>5.08</v>
      </c>
      <c r="O22" s="7">
        <v>6.6210000000000004</v>
      </c>
      <c r="P22" s="7">
        <f t="shared" si="4"/>
        <v>30.334645669291344</v>
      </c>
      <c r="Q22" s="7">
        <f t="shared" si="5"/>
        <v>1.5410000000000004</v>
      </c>
      <c r="R22" s="7">
        <v>50282</v>
      </c>
      <c r="S22" s="7">
        <v>38588</v>
      </c>
      <c r="T22" s="7">
        <f t="shared" si="6"/>
        <v>-23.256831470506345</v>
      </c>
      <c r="U22" s="7">
        <f t="shared" si="7"/>
        <v>-11694</v>
      </c>
      <c r="V22" s="7">
        <v>22.361000000000001</v>
      </c>
      <c r="W22" s="7">
        <v>19.204999999999998</v>
      </c>
      <c r="X22" s="7">
        <f t="shared" si="8"/>
        <v>-14.11385895085194</v>
      </c>
      <c r="Y22" s="7">
        <f t="shared" si="9"/>
        <v>-3.1560000000000024</v>
      </c>
      <c r="Z22" s="7">
        <v>6.3774999999999995</v>
      </c>
      <c r="AA22" s="7">
        <v>8.4480000000000004</v>
      </c>
      <c r="AB22" s="7">
        <f t="shared" si="10"/>
        <v>32.465699725597815</v>
      </c>
      <c r="AC22" s="7">
        <f t="shared" si="11"/>
        <v>2.0705000000000009</v>
      </c>
    </row>
    <row r="23" spans="1:29" ht="18.5" customHeight="1" x14ac:dyDescent="0.35">
      <c r="A23" s="27"/>
      <c r="B23" s="20" t="s">
        <v>41</v>
      </c>
      <c r="C23" s="7" t="s">
        <v>42</v>
      </c>
      <c r="D23" s="7" t="s">
        <v>81</v>
      </c>
      <c r="E23" s="7" t="s">
        <v>85</v>
      </c>
      <c r="F23" s="7">
        <v>21.504000000000001</v>
      </c>
      <c r="G23" s="7">
        <v>20.576000000000001</v>
      </c>
      <c r="H23" s="7">
        <f t="shared" si="0"/>
        <v>-4.3154761904761942</v>
      </c>
      <c r="I23" s="7">
        <f t="shared" si="1"/>
        <v>-0.92800000000000082</v>
      </c>
      <c r="J23" s="7">
        <v>66325</v>
      </c>
      <c r="K23" s="7">
        <v>57918</v>
      </c>
      <c r="L23" s="7">
        <f t="shared" si="2"/>
        <v>-12.675461741424801</v>
      </c>
      <c r="M23" s="7">
        <f t="shared" si="3"/>
        <v>-8407</v>
      </c>
      <c r="N23" s="7">
        <v>6.9950000000000001</v>
      </c>
      <c r="O23" s="7">
        <v>8.5440000000000005</v>
      </c>
      <c r="P23" s="7">
        <f t="shared" si="4"/>
        <v>22.144388849177989</v>
      </c>
      <c r="Q23" s="7">
        <f t="shared" si="5"/>
        <v>1.5490000000000004</v>
      </c>
      <c r="R23" s="7">
        <v>74377.5</v>
      </c>
      <c r="S23" s="7">
        <v>79205</v>
      </c>
      <c r="T23" s="7">
        <f t="shared" si="6"/>
        <v>6.4905381331719942</v>
      </c>
      <c r="U23" s="7">
        <f t="shared" si="7"/>
        <v>4827.5</v>
      </c>
      <c r="V23" s="7">
        <v>13.6225</v>
      </c>
      <c r="W23" s="7">
        <v>19.681999999999999</v>
      </c>
      <c r="X23" s="7">
        <f t="shared" si="8"/>
        <v>44.481556248852982</v>
      </c>
      <c r="Y23" s="7">
        <f t="shared" si="9"/>
        <v>6.0594999999999981</v>
      </c>
      <c r="Z23" s="7">
        <v>9.2164999999999999</v>
      </c>
      <c r="AA23" s="7">
        <v>7.9279999999999999</v>
      </c>
      <c r="AB23" s="7">
        <f t="shared" si="10"/>
        <v>-13.980361308522756</v>
      </c>
      <c r="AC23" s="7">
        <f t="shared" si="11"/>
        <v>-1.2885</v>
      </c>
    </row>
    <row r="24" spans="1:29" ht="18.5" customHeight="1" x14ac:dyDescent="0.35">
      <c r="A24" s="27"/>
      <c r="B24" s="20" t="s">
        <v>43</v>
      </c>
      <c r="C24" s="7" t="s">
        <v>44</v>
      </c>
      <c r="D24" s="7" t="s">
        <v>81</v>
      </c>
      <c r="E24" s="7" t="s">
        <v>84</v>
      </c>
      <c r="F24" s="7">
        <v>23.897500000000001</v>
      </c>
      <c r="G24" s="7">
        <v>25.672000000000001</v>
      </c>
      <c r="H24" s="7">
        <f t="shared" si="0"/>
        <v>7.4254629145308071</v>
      </c>
      <c r="I24" s="7">
        <f t="shared" si="1"/>
        <v>1.7744999999999997</v>
      </c>
      <c r="J24" s="7">
        <v>66130</v>
      </c>
      <c r="K24" s="7">
        <v>67199</v>
      </c>
      <c r="L24" s="7">
        <f t="shared" si="2"/>
        <v>1.6165129290790867</v>
      </c>
      <c r="M24" s="7">
        <f t="shared" si="3"/>
        <v>1069</v>
      </c>
      <c r="N24" s="7">
        <v>5.5439999999999996</v>
      </c>
      <c r="O24" s="7">
        <v>8.7490000000000006</v>
      </c>
      <c r="P24" s="7">
        <f t="shared" si="4"/>
        <v>57.810245310245335</v>
      </c>
      <c r="Q24" s="7">
        <f t="shared" si="5"/>
        <v>3.205000000000001</v>
      </c>
      <c r="R24" s="7">
        <v>61879.5</v>
      </c>
      <c r="S24" s="7">
        <v>69473</v>
      </c>
      <c r="T24" s="7">
        <f t="shared" si="6"/>
        <v>12.27143076463126</v>
      </c>
      <c r="U24" s="7">
        <f t="shared" si="7"/>
        <v>7593.5</v>
      </c>
      <c r="V24" s="7">
        <v>20.369500000000002</v>
      </c>
      <c r="W24" s="7">
        <v>20.166</v>
      </c>
      <c r="X24" s="7">
        <f t="shared" si="8"/>
        <v>-0.99904268636933535</v>
      </c>
      <c r="Y24" s="7">
        <f t="shared" si="9"/>
        <v>-0.20350000000000179</v>
      </c>
      <c r="Z24" s="7">
        <v>7.1025</v>
      </c>
      <c r="AA24" s="7">
        <v>7.92</v>
      </c>
      <c r="AB24" s="7">
        <f t="shared" si="10"/>
        <v>11.510031678986271</v>
      </c>
      <c r="AC24" s="7">
        <f t="shared" si="11"/>
        <v>0.81749999999999989</v>
      </c>
    </row>
    <row r="25" spans="1:29" ht="18.5" customHeight="1" x14ac:dyDescent="0.35">
      <c r="A25" s="27"/>
      <c r="B25" s="20" t="s">
        <v>45</v>
      </c>
      <c r="C25" s="7" t="s">
        <v>46</v>
      </c>
      <c r="D25" s="7" t="s">
        <v>82</v>
      </c>
      <c r="E25" s="7" t="s">
        <v>85</v>
      </c>
      <c r="F25" s="7">
        <v>24.587499999999999</v>
      </c>
      <c r="G25" s="7">
        <v>27.451000000000001</v>
      </c>
      <c r="H25" s="7">
        <f t="shared" si="0"/>
        <v>11.64616166751399</v>
      </c>
      <c r="I25" s="7">
        <f t="shared" si="1"/>
        <v>2.8635000000000019</v>
      </c>
      <c r="J25" s="7">
        <v>46769.5</v>
      </c>
      <c r="K25" s="7">
        <v>43664</v>
      </c>
      <c r="L25" s="7">
        <f t="shared" si="2"/>
        <v>-6.6400111183570489</v>
      </c>
      <c r="M25" s="7">
        <f t="shared" si="3"/>
        <v>-3105.5</v>
      </c>
      <c r="N25" s="7">
        <v>6.6154999999999999</v>
      </c>
      <c r="O25" s="7">
        <v>8.4819999999999993</v>
      </c>
      <c r="P25" s="7">
        <f t="shared" si="4"/>
        <v>28.214042778323623</v>
      </c>
      <c r="Q25" s="7">
        <f t="shared" si="5"/>
        <v>1.8664999999999994</v>
      </c>
      <c r="R25" s="7">
        <v>43544.5</v>
      </c>
      <c r="S25" s="7">
        <v>48491</v>
      </c>
      <c r="T25" s="7">
        <f t="shared" si="6"/>
        <v>11.359643583001297</v>
      </c>
      <c r="U25" s="7">
        <f t="shared" si="7"/>
        <v>4946.5</v>
      </c>
      <c r="V25" s="7" t="s">
        <v>75</v>
      </c>
      <c r="W25" s="7" t="s">
        <v>75</v>
      </c>
      <c r="X25" s="7" t="s">
        <v>75</v>
      </c>
      <c r="Y25" s="7" t="s">
        <v>75</v>
      </c>
      <c r="Z25" s="7" t="s">
        <v>75</v>
      </c>
      <c r="AA25" s="7" t="s">
        <v>75</v>
      </c>
      <c r="AB25" s="7" t="s">
        <v>75</v>
      </c>
      <c r="AC25" s="7" t="s">
        <v>75</v>
      </c>
    </row>
    <row r="26" spans="1:29" ht="18.5" customHeight="1" x14ac:dyDescent="0.35">
      <c r="A26" s="27"/>
      <c r="B26" s="20" t="s">
        <v>47</v>
      </c>
      <c r="C26" s="7" t="s">
        <v>48</v>
      </c>
      <c r="D26" s="7" t="s">
        <v>81</v>
      </c>
      <c r="E26" s="7" t="s">
        <v>84</v>
      </c>
      <c r="F26" s="7">
        <v>25.058499999999999</v>
      </c>
      <c r="G26" s="7">
        <v>23.861000000000001</v>
      </c>
      <c r="H26" s="7">
        <f t="shared" si="0"/>
        <v>-4.778817566893462</v>
      </c>
      <c r="I26" s="7">
        <f t="shared" si="1"/>
        <v>-1.197499999999998</v>
      </c>
      <c r="J26" s="7">
        <v>67687.5</v>
      </c>
      <c r="K26" s="7">
        <v>58099</v>
      </c>
      <c r="L26" s="7">
        <f t="shared" si="2"/>
        <v>-14.165835641735919</v>
      </c>
      <c r="M26" s="7">
        <f t="shared" si="3"/>
        <v>-9588.5</v>
      </c>
      <c r="N26" s="7">
        <v>5.8090000000000002</v>
      </c>
      <c r="O26" s="7">
        <v>4.82</v>
      </c>
      <c r="P26" s="7">
        <f t="shared" si="4"/>
        <v>-17.025305560337404</v>
      </c>
      <c r="Q26" s="7">
        <f t="shared" si="5"/>
        <v>-0.98899999999999988</v>
      </c>
      <c r="R26" s="7">
        <v>77235</v>
      </c>
      <c r="S26" s="7">
        <v>71269</v>
      </c>
      <c r="T26" s="7">
        <f t="shared" si="6"/>
        <v>-7.724477244772447</v>
      </c>
      <c r="U26" s="7">
        <f t="shared" si="7"/>
        <v>-5966</v>
      </c>
      <c r="V26" s="7" t="s">
        <v>75</v>
      </c>
      <c r="W26" s="7" t="s">
        <v>75</v>
      </c>
      <c r="X26" s="7" t="s">
        <v>75</v>
      </c>
      <c r="Y26" s="7" t="s">
        <v>75</v>
      </c>
      <c r="Z26" s="7" t="s">
        <v>75</v>
      </c>
      <c r="AA26" s="7" t="s">
        <v>75</v>
      </c>
      <c r="AB26" s="7" t="s">
        <v>75</v>
      </c>
      <c r="AC26" s="7" t="s">
        <v>75</v>
      </c>
    </row>
    <row r="27" spans="1:29" ht="18.5" customHeight="1" x14ac:dyDescent="0.35">
      <c r="A27" s="27"/>
      <c r="B27" s="20" t="s">
        <v>49</v>
      </c>
      <c r="C27" s="7" t="s">
        <v>50</v>
      </c>
      <c r="D27" s="7" t="s">
        <v>82</v>
      </c>
      <c r="E27" s="7" t="s">
        <v>85</v>
      </c>
      <c r="F27" s="7">
        <v>14.2485</v>
      </c>
      <c r="G27" s="7">
        <v>17.309999999999999</v>
      </c>
      <c r="H27" s="7">
        <f t="shared" si="0"/>
        <v>21.48647226023791</v>
      </c>
      <c r="I27" s="7">
        <f t="shared" si="1"/>
        <v>3.0614999999999988</v>
      </c>
      <c r="J27" s="7">
        <v>54602.5</v>
      </c>
      <c r="K27" s="7">
        <v>47404</v>
      </c>
      <c r="L27" s="7">
        <f t="shared" si="2"/>
        <v>-13.183462295682432</v>
      </c>
      <c r="M27" s="7">
        <f t="shared" si="3"/>
        <v>-7198.5</v>
      </c>
      <c r="N27" s="7">
        <v>3.7105000000000001</v>
      </c>
      <c r="O27" s="7">
        <v>5.8470000000000004</v>
      </c>
      <c r="P27" s="7">
        <f t="shared" si="4"/>
        <v>57.579840991780088</v>
      </c>
      <c r="Q27" s="7">
        <f t="shared" si="5"/>
        <v>2.1365000000000003</v>
      </c>
      <c r="R27" s="7">
        <v>60106</v>
      </c>
      <c r="S27" s="7">
        <v>50422</v>
      </c>
      <c r="T27" s="7">
        <f t="shared" si="6"/>
        <v>-16.111536285894921</v>
      </c>
      <c r="U27" s="7">
        <f t="shared" si="7"/>
        <v>-9684</v>
      </c>
      <c r="V27" s="7">
        <v>12.327999999999999</v>
      </c>
      <c r="W27" s="7">
        <v>18.100000000000001</v>
      </c>
      <c r="X27" s="7">
        <f t="shared" si="8"/>
        <v>46.820246593121368</v>
      </c>
      <c r="Y27" s="7">
        <f t="shared" si="9"/>
        <v>5.772000000000002</v>
      </c>
      <c r="Z27" s="7">
        <v>8.1539999999999999</v>
      </c>
      <c r="AA27" s="7">
        <v>7.5140000000000002</v>
      </c>
      <c r="AB27" s="7">
        <f t="shared" si="10"/>
        <v>-7.8489085111601629</v>
      </c>
      <c r="AC27" s="7">
        <f t="shared" si="11"/>
        <v>-0.63999999999999968</v>
      </c>
    </row>
    <row r="28" spans="1:29" ht="18.5" customHeight="1" x14ac:dyDescent="0.35">
      <c r="A28" s="27"/>
      <c r="B28" s="20" t="s">
        <v>51</v>
      </c>
      <c r="C28" s="7" t="s">
        <v>52</v>
      </c>
      <c r="D28" s="7" t="s">
        <v>82</v>
      </c>
      <c r="E28" s="7" t="s">
        <v>85</v>
      </c>
      <c r="F28" s="7">
        <v>24.943999999999999</v>
      </c>
      <c r="G28" s="7">
        <v>26.356999999999999</v>
      </c>
      <c r="H28" s="7">
        <f t="shared" si="0"/>
        <v>5.6646889031430421</v>
      </c>
      <c r="I28" s="7">
        <f t="shared" si="1"/>
        <v>1.4130000000000003</v>
      </c>
      <c r="J28" s="7">
        <v>72681</v>
      </c>
      <c r="K28" s="7">
        <v>70047</v>
      </c>
      <c r="L28" s="7">
        <f t="shared" si="2"/>
        <v>-3.6240558055062535</v>
      </c>
      <c r="M28" s="7">
        <f t="shared" si="3"/>
        <v>-2634</v>
      </c>
      <c r="N28" s="7">
        <v>6.7069999999999999</v>
      </c>
      <c r="O28" s="7">
        <v>7.819</v>
      </c>
      <c r="P28" s="7">
        <f t="shared" si="4"/>
        <v>16.579692858207846</v>
      </c>
      <c r="Q28" s="7">
        <f t="shared" si="5"/>
        <v>1.1120000000000001</v>
      </c>
      <c r="R28" s="7">
        <v>81682</v>
      </c>
      <c r="S28" s="7">
        <v>72409</v>
      </c>
      <c r="T28" s="7">
        <f t="shared" si="6"/>
        <v>-11.352562376043682</v>
      </c>
      <c r="U28" s="7">
        <f t="shared" si="7"/>
        <v>-9273</v>
      </c>
      <c r="V28" s="7" t="s">
        <v>75</v>
      </c>
      <c r="W28" s="7" t="s">
        <v>75</v>
      </c>
      <c r="X28" s="7" t="s">
        <v>75</v>
      </c>
      <c r="Y28" s="7" t="s">
        <v>75</v>
      </c>
      <c r="Z28" s="7" t="s">
        <v>75</v>
      </c>
      <c r="AA28" s="7" t="s">
        <v>75</v>
      </c>
      <c r="AB28" s="7" t="s">
        <v>75</v>
      </c>
      <c r="AC28" s="7" t="s">
        <v>75</v>
      </c>
    </row>
    <row r="29" spans="1:29" ht="18.5" customHeight="1" x14ac:dyDescent="0.35">
      <c r="A29" s="27"/>
      <c r="B29" s="20" t="s">
        <v>53</v>
      </c>
      <c r="C29" s="7" t="s">
        <v>54</v>
      </c>
      <c r="D29" s="7" t="s">
        <v>82</v>
      </c>
      <c r="E29" s="7" t="s">
        <v>84</v>
      </c>
      <c r="F29" s="7">
        <v>17.637</v>
      </c>
      <c r="G29" s="7">
        <v>17.666</v>
      </c>
      <c r="H29" s="7">
        <f t="shared" si="0"/>
        <v>0.16442705675568359</v>
      </c>
      <c r="I29" s="7">
        <f t="shared" si="1"/>
        <v>2.8999999999999915E-2</v>
      </c>
      <c r="J29" s="7">
        <v>52306.5</v>
      </c>
      <c r="K29" s="7">
        <v>47146</v>
      </c>
      <c r="L29" s="7">
        <f t="shared" si="2"/>
        <v>-9.8658866488868497</v>
      </c>
      <c r="M29" s="7">
        <f t="shared" si="3"/>
        <v>-5160.5</v>
      </c>
      <c r="N29" s="7">
        <v>4.25</v>
      </c>
      <c r="O29" s="7">
        <v>4.7809999999999997</v>
      </c>
      <c r="P29" s="7">
        <f t="shared" si="4"/>
        <v>12.494117647058816</v>
      </c>
      <c r="Q29" s="7">
        <f t="shared" si="5"/>
        <v>0.53099999999999969</v>
      </c>
      <c r="R29" s="7">
        <v>53538.5</v>
      </c>
      <c r="S29" s="7">
        <v>51295</v>
      </c>
      <c r="T29" s="7">
        <f t="shared" si="6"/>
        <v>-4.1904423919235692</v>
      </c>
      <c r="U29" s="7">
        <f t="shared" si="7"/>
        <v>-2243.5</v>
      </c>
      <c r="V29" s="7">
        <v>19.506</v>
      </c>
      <c r="W29" s="7">
        <v>15.737</v>
      </c>
      <c r="X29" s="7">
        <f t="shared" si="8"/>
        <v>-19.322259817492053</v>
      </c>
      <c r="Y29" s="7">
        <f t="shared" si="9"/>
        <v>-3.7690000000000001</v>
      </c>
      <c r="Z29" s="7">
        <v>5.7169999999999996</v>
      </c>
      <c r="AA29" s="7">
        <v>8.093</v>
      </c>
      <c r="AB29" s="7">
        <f t="shared" si="10"/>
        <v>41.560258877033419</v>
      </c>
      <c r="AC29" s="7">
        <f t="shared" si="11"/>
        <v>2.3760000000000003</v>
      </c>
    </row>
    <row r="30" spans="1:29" ht="18.5" customHeight="1" x14ac:dyDescent="0.35">
      <c r="A30" s="27"/>
      <c r="B30" s="20" t="s">
        <v>55</v>
      </c>
      <c r="C30" s="7" t="s">
        <v>56</v>
      </c>
      <c r="D30" s="7" t="s">
        <v>81</v>
      </c>
      <c r="E30" s="7" t="s">
        <v>84</v>
      </c>
      <c r="F30" s="7">
        <v>14.677</v>
      </c>
      <c r="G30" s="7">
        <v>17.251000000000001</v>
      </c>
      <c r="H30" s="7">
        <f t="shared" si="0"/>
        <v>17.537643932683803</v>
      </c>
      <c r="I30" s="7">
        <f t="shared" si="1"/>
        <v>2.5740000000000016</v>
      </c>
      <c r="J30" s="7">
        <v>79105</v>
      </c>
      <c r="K30" s="7">
        <v>75186</v>
      </c>
      <c r="L30" s="7">
        <f t="shared" si="2"/>
        <v>-4.9541748309209277</v>
      </c>
      <c r="M30" s="7">
        <f t="shared" si="3"/>
        <v>-3919</v>
      </c>
      <c r="N30" s="7">
        <v>3.7814999999999999</v>
      </c>
      <c r="O30" s="7">
        <v>5.4</v>
      </c>
      <c r="P30" s="7">
        <f t="shared" si="4"/>
        <v>42.800476001586688</v>
      </c>
      <c r="Q30" s="7">
        <f t="shared" si="5"/>
        <v>1.6185000000000005</v>
      </c>
      <c r="R30" s="7">
        <v>87595</v>
      </c>
      <c r="S30" s="7">
        <v>85268</v>
      </c>
      <c r="T30" s="7">
        <f t="shared" si="6"/>
        <v>-2.6565443233061248</v>
      </c>
      <c r="U30" s="7">
        <f t="shared" si="7"/>
        <v>-2327</v>
      </c>
      <c r="V30" s="7">
        <v>17.661999999999999</v>
      </c>
      <c r="W30" s="7">
        <v>19.61</v>
      </c>
      <c r="X30" s="7">
        <f t="shared" si="8"/>
        <v>11.029328501868422</v>
      </c>
      <c r="Y30" s="7">
        <f t="shared" si="9"/>
        <v>1.9480000000000004</v>
      </c>
      <c r="Z30" s="7">
        <v>6.5389999999999997</v>
      </c>
      <c r="AA30" s="7">
        <v>6.1440000000000001</v>
      </c>
      <c r="AB30" s="7">
        <f t="shared" si="10"/>
        <v>-6.0406790029056374</v>
      </c>
      <c r="AC30" s="7">
        <f t="shared" si="11"/>
        <v>-0.39499999999999957</v>
      </c>
    </row>
    <row r="31" spans="1:29" ht="18.5" customHeight="1" x14ac:dyDescent="0.35">
      <c r="A31" s="27"/>
      <c r="B31" s="20" t="s">
        <v>57</v>
      </c>
      <c r="C31" s="7" t="s">
        <v>58</v>
      </c>
      <c r="D31" s="7" t="s">
        <v>81</v>
      </c>
      <c r="E31" s="7" t="s">
        <v>85</v>
      </c>
      <c r="F31" s="7">
        <v>34.753999999999998</v>
      </c>
      <c r="G31" s="7">
        <v>36.991</v>
      </c>
      <c r="H31" s="7">
        <f t="shared" si="0"/>
        <v>6.4366691603844215</v>
      </c>
      <c r="I31" s="7">
        <f t="shared" si="1"/>
        <v>2.2370000000000019</v>
      </c>
      <c r="J31" s="7">
        <v>45743.5</v>
      </c>
      <c r="K31" s="7">
        <v>44071</v>
      </c>
      <c r="L31" s="7">
        <f t="shared" si="2"/>
        <v>-3.656257173150284</v>
      </c>
      <c r="M31" s="7">
        <f t="shared" si="3"/>
        <v>-1672.5</v>
      </c>
      <c r="N31" s="7">
        <v>11.6525</v>
      </c>
      <c r="O31" s="7">
        <v>13.554</v>
      </c>
      <c r="P31" s="7">
        <f t="shared" si="4"/>
        <v>16.31838661231496</v>
      </c>
      <c r="Q31" s="7">
        <f t="shared" si="5"/>
        <v>1.9015000000000004</v>
      </c>
      <c r="R31" s="7">
        <v>66035</v>
      </c>
      <c r="S31" s="7">
        <v>52172</v>
      </c>
      <c r="T31" s="7">
        <f t="shared" si="6"/>
        <v>-20.993412584235632</v>
      </c>
      <c r="U31" s="7">
        <f t="shared" si="7"/>
        <v>-13863</v>
      </c>
      <c r="V31" s="7">
        <v>23.641500000000001</v>
      </c>
      <c r="W31" s="7">
        <v>20.565000000000001</v>
      </c>
      <c r="X31" s="7">
        <f t="shared" si="8"/>
        <v>-13.013133684410885</v>
      </c>
      <c r="Y31" s="7">
        <f t="shared" si="9"/>
        <v>-3.0764999999999993</v>
      </c>
      <c r="Z31" s="7">
        <v>7.4470000000000001</v>
      </c>
      <c r="AA31" s="7">
        <v>8.9700000000000006</v>
      </c>
      <c r="AB31" s="7">
        <f t="shared" si="10"/>
        <v>20.451188398012629</v>
      </c>
      <c r="AC31" s="7">
        <f t="shared" si="11"/>
        <v>1.5230000000000006</v>
      </c>
    </row>
    <row r="32" spans="1:29" ht="18.5" customHeight="1" x14ac:dyDescent="0.35">
      <c r="A32" s="27"/>
      <c r="B32" s="20" t="s">
        <v>59</v>
      </c>
      <c r="C32" s="7" t="s">
        <v>60</v>
      </c>
      <c r="D32" s="7" t="s">
        <v>81</v>
      </c>
      <c r="E32" s="7" t="s">
        <v>85</v>
      </c>
      <c r="F32" s="7">
        <v>16.959</v>
      </c>
      <c r="G32" s="7">
        <v>18.573</v>
      </c>
      <c r="H32" s="7">
        <f t="shared" si="0"/>
        <v>9.5170705819918666</v>
      </c>
      <c r="I32" s="7">
        <f t="shared" si="1"/>
        <v>1.6140000000000008</v>
      </c>
      <c r="J32" s="7">
        <v>56780.5</v>
      </c>
      <c r="K32" s="7">
        <v>49891</v>
      </c>
      <c r="L32" s="7">
        <f t="shared" si="2"/>
        <v>-12.133566981622213</v>
      </c>
      <c r="M32" s="7">
        <f t="shared" si="3"/>
        <v>-6889.5</v>
      </c>
      <c r="N32" s="7">
        <v>4.5155000000000003</v>
      </c>
      <c r="O32" s="7">
        <v>5.5860000000000003</v>
      </c>
      <c r="P32" s="7">
        <f t="shared" si="4"/>
        <v>23.707230649983387</v>
      </c>
      <c r="Q32" s="7">
        <f t="shared" si="5"/>
        <v>1.0705</v>
      </c>
      <c r="R32" s="7">
        <v>71919.5</v>
      </c>
      <c r="S32" s="7">
        <v>57889</v>
      </c>
      <c r="T32" s="7">
        <f t="shared" si="6"/>
        <v>-19.508617273479377</v>
      </c>
      <c r="U32" s="7">
        <f t="shared" si="7"/>
        <v>-14030.5</v>
      </c>
      <c r="V32" s="7">
        <v>20.490500000000001</v>
      </c>
      <c r="W32" s="7">
        <v>20.334</v>
      </c>
      <c r="X32" s="7">
        <f t="shared" si="8"/>
        <v>-0.76376857568141909</v>
      </c>
      <c r="Y32" s="7">
        <f t="shared" si="9"/>
        <v>-0.15650000000000119</v>
      </c>
      <c r="Z32" s="7">
        <v>5.9954999999999998</v>
      </c>
      <c r="AA32" s="7">
        <v>6.3339999999999996</v>
      </c>
      <c r="AB32" s="7">
        <f t="shared" si="10"/>
        <v>5.645901092486028</v>
      </c>
      <c r="AC32" s="7">
        <f t="shared" si="11"/>
        <v>0.3384999999999998</v>
      </c>
    </row>
    <row r="33" spans="1:29" ht="18.5" customHeight="1" x14ac:dyDescent="0.35">
      <c r="A33" s="27"/>
      <c r="B33" s="20" t="s">
        <v>61</v>
      </c>
      <c r="C33" s="7" t="s">
        <v>62</v>
      </c>
      <c r="D33" s="7" t="s">
        <v>81</v>
      </c>
      <c r="E33" s="7" t="s">
        <v>85</v>
      </c>
      <c r="F33" s="7">
        <v>16.439</v>
      </c>
      <c r="G33" s="7">
        <v>19.074999999999999</v>
      </c>
      <c r="H33" s="7">
        <f t="shared" si="0"/>
        <v>16.035038627653744</v>
      </c>
      <c r="I33" s="7">
        <f t="shared" si="1"/>
        <v>2.6359999999999992</v>
      </c>
      <c r="J33" s="7">
        <v>72016</v>
      </c>
      <c r="K33" s="7">
        <v>60564</v>
      </c>
      <c r="L33" s="7">
        <f t="shared" si="2"/>
        <v>-15.902021772939348</v>
      </c>
      <c r="M33" s="7">
        <f t="shared" si="3"/>
        <v>-11452</v>
      </c>
      <c r="N33" s="7">
        <v>4.6475</v>
      </c>
      <c r="O33" s="7">
        <v>5.9109999999999996</v>
      </c>
      <c r="P33" s="7">
        <f t="shared" si="4"/>
        <v>27.186659494351794</v>
      </c>
      <c r="Q33" s="7">
        <f t="shared" si="5"/>
        <v>1.2634999999999996</v>
      </c>
      <c r="R33" s="7">
        <v>76237</v>
      </c>
      <c r="S33" s="7">
        <v>68435</v>
      </c>
      <c r="T33" s="7">
        <f t="shared" si="6"/>
        <v>-10.23387593950444</v>
      </c>
      <c r="U33" s="7">
        <f t="shared" si="7"/>
        <v>-7802</v>
      </c>
      <c r="V33" s="7">
        <v>13.227</v>
      </c>
      <c r="W33" s="7">
        <v>13.1</v>
      </c>
      <c r="X33" s="7">
        <f t="shared" si="8"/>
        <v>-0.96015725410146424</v>
      </c>
      <c r="Y33" s="7">
        <f t="shared" si="9"/>
        <v>-0.12700000000000067</v>
      </c>
      <c r="Z33" s="7">
        <v>7.452</v>
      </c>
      <c r="AA33" s="7">
        <v>11.634</v>
      </c>
      <c r="AB33" s="7">
        <f t="shared" si="10"/>
        <v>56.119162640901777</v>
      </c>
      <c r="AC33" s="7">
        <f t="shared" si="11"/>
        <v>4.1820000000000004</v>
      </c>
    </row>
    <row r="34" spans="1:29" ht="18.5" customHeight="1" x14ac:dyDescent="0.35">
      <c r="A34" s="27"/>
      <c r="B34" s="20" t="s">
        <v>63</v>
      </c>
      <c r="C34" s="7" t="s">
        <v>64</v>
      </c>
      <c r="D34" s="7" t="s">
        <v>81</v>
      </c>
      <c r="E34" s="7" t="s">
        <v>85</v>
      </c>
      <c r="F34" s="7">
        <v>20.613</v>
      </c>
      <c r="G34" s="7">
        <v>20.710999999999999</v>
      </c>
      <c r="H34" s="7">
        <f t="shared" si="0"/>
        <v>0.47542812788045885</v>
      </c>
      <c r="I34" s="7">
        <f t="shared" si="1"/>
        <v>9.7999999999998977E-2</v>
      </c>
      <c r="J34" s="7">
        <v>62039.5</v>
      </c>
      <c r="K34" s="7">
        <v>49387</v>
      </c>
      <c r="L34" s="7">
        <f t="shared" si="2"/>
        <v>-20.39426494410819</v>
      </c>
      <c r="M34" s="7">
        <f t="shared" si="3"/>
        <v>-12652.5</v>
      </c>
      <c r="N34" s="7">
        <v>7.2885</v>
      </c>
      <c r="O34" s="7">
        <v>7.202</v>
      </c>
      <c r="P34" s="7">
        <f t="shared" si="4"/>
        <v>-1.1868011250600263</v>
      </c>
      <c r="Q34" s="7">
        <f t="shared" si="5"/>
        <v>-8.6500000000000021E-2</v>
      </c>
      <c r="R34" s="7">
        <v>62167</v>
      </c>
      <c r="S34" s="7">
        <v>62155</v>
      </c>
      <c r="T34" s="7">
        <f t="shared" si="6"/>
        <v>-1.9302845561149806E-2</v>
      </c>
      <c r="U34" s="7">
        <f t="shared" si="7"/>
        <v>-12</v>
      </c>
      <c r="V34" s="7">
        <v>13.849</v>
      </c>
      <c r="W34" s="7">
        <v>11.984</v>
      </c>
      <c r="X34" s="7">
        <f t="shared" si="8"/>
        <v>-13.466676294317281</v>
      </c>
      <c r="Y34" s="7">
        <f t="shared" si="9"/>
        <v>-1.8650000000000002</v>
      </c>
      <c r="Z34" s="7">
        <v>9.6950000000000003</v>
      </c>
      <c r="AA34" s="7">
        <v>9.2319999999999993</v>
      </c>
      <c r="AB34" s="7">
        <f t="shared" si="10"/>
        <v>-4.7756575554409588</v>
      </c>
      <c r="AC34" s="7">
        <f t="shared" si="11"/>
        <v>-0.46300000000000097</v>
      </c>
    </row>
    <row r="35" spans="1:29" ht="18.5" customHeight="1" x14ac:dyDescent="0.35">
      <c r="A35" s="27"/>
      <c r="B35" s="20" t="s">
        <v>65</v>
      </c>
      <c r="C35" s="7" t="s">
        <v>66</v>
      </c>
      <c r="D35" s="7" t="s">
        <v>82</v>
      </c>
      <c r="E35" s="7" t="s">
        <v>85</v>
      </c>
      <c r="F35" s="7">
        <v>30.145</v>
      </c>
      <c r="G35" s="7">
        <v>33.299999999999997</v>
      </c>
      <c r="H35" s="7">
        <f t="shared" si="0"/>
        <v>10.466080610383139</v>
      </c>
      <c r="I35" s="7">
        <f t="shared" si="1"/>
        <v>3.1549999999999976</v>
      </c>
      <c r="J35" s="7">
        <v>59384.5</v>
      </c>
      <c r="K35" s="7">
        <v>60973</v>
      </c>
      <c r="L35" s="7">
        <f t="shared" si="2"/>
        <v>2.6749404305837379</v>
      </c>
      <c r="M35" s="7">
        <f t="shared" si="3"/>
        <v>1588.5</v>
      </c>
      <c r="N35" s="7">
        <v>9.1039999999999992</v>
      </c>
      <c r="O35" s="7">
        <v>11.917999999999999</v>
      </c>
      <c r="P35" s="7">
        <f t="shared" si="4"/>
        <v>30.909490333919159</v>
      </c>
      <c r="Q35" s="7">
        <f t="shared" si="5"/>
        <v>2.8140000000000001</v>
      </c>
      <c r="R35" s="7">
        <v>74162.5</v>
      </c>
      <c r="S35" s="7">
        <v>67230</v>
      </c>
      <c r="T35" s="7">
        <f t="shared" si="6"/>
        <v>-9.3477161638294284</v>
      </c>
      <c r="U35" s="7">
        <f t="shared" si="7"/>
        <v>-6932.5</v>
      </c>
      <c r="V35" s="7">
        <v>27.849</v>
      </c>
      <c r="W35" s="7">
        <v>27.477</v>
      </c>
      <c r="X35" s="7">
        <f t="shared" si="8"/>
        <v>-1.335775072713562</v>
      </c>
      <c r="Y35" s="7">
        <f t="shared" si="9"/>
        <v>-0.37199999999999989</v>
      </c>
      <c r="Z35" s="7">
        <v>7.6440000000000001</v>
      </c>
      <c r="AA35" s="7">
        <v>7.9459999999999997</v>
      </c>
      <c r="AB35" s="7">
        <f t="shared" si="10"/>
        <v>3.9508110936682312</v>
      </c>
      <c r="AC35" s="7">
        <f t="shared" si="11"/>
        <v>0.3019999999999996</v>
      </c>
    </row>
    <row r="36" spans="1:29" ht="18.5" customHeight="1" x14ac:dyDescent="0.35">
      <c r="A36" s="27"/>
      <c r="B36" s="20" t="s">
        <v>67</v>
      </c>
      <c r="C36" s="7" t="s">
        <v>68</v>
      </c>
      <c r="D36" s="7" t="s">
        <v>81</v>
      </c>
      <c r="E36" s="7" t="s">
        <v>85</v>
      </c>
      <c r="F36" s="7">
        <v>23.830500000000001</v>
      </c>
      <c r="G36" s="7">
        <v>26.869</v>
      </c>
      <c r="H36" s="7">
        <f t="shared" si="0"/>
        <v>12.750466838715088</v>
      </c>
      <c r="I36" s="7">
        <f t="shared" si="1"/>
        <v>3.0384999999999991</v>
      </c>
      <c r="J36" s="7">
        <v>57147</v>
      </c>
      <c r="K36" s="7">
        <v>54992</v>
      </c>
      <c r="L36" s="7">
        <f t="shared" si="2"/>
        <v>-3.7709766041961958</v>
      </c>
      <c r="M36" s="7">
        <f t="shared" si="3"/>
        <v>-2155</v>
      </c>
      <c r="N36" s="7">
        <v>5.58</v>
      </c>
      <c r="O36" s="7">
        <v>7.266</v>
      </c>
      <c r="P36" s="7">
        <f t="shared" si="4"/>
        <v>30.215053763440856</v>
      </c>
      <c r="Q36" s="7">
        <f t="shared" si="5"/>
        <v>1.6859999999999999</v>
      </c>
      <c r="R36" s="7">
        <v>60913</v>
      </c>
      <c r="S36" s="7">
        <v>59199</v>
      </c>
      <c r="T36" s="7">
        <f t="shared" si="6"/>
        <v>-2.8138492604206</v>
      </c>
      <c r="U36" s="7">
        <f t="shared" si="7"/>
        <v>-1714</v>
      </c>
      <c r="V36" s="7">
        <v>14.339</v>
      </c>
      <c r="W36" s="7">
        <v>17.134</v>
      </c>
      <c r="X36" s="7">
        <f t="shared" si="8"/>
        <v>19.492293744333637</v>
      </c>
      <c r="Y36" s="7">
        <f t="shared" si="9"/>
        <v>2.7949999999999999</v>
      </c>
      <c r="Z36" s="7">
        <v>10.59</v>
      </c>
      <c r="AA36" s="7">
        <v>10.433</v>
      </c>
      <c r="AB36" s="7">
        <f t="shared" si="10"/>
        <v>-1.4825306893295565</v>
      </c>
      <c r="AC36" s="7">
        <f t="shared" si="11"/>
        <v>-0.15700000000000003</v>
      </c>
    </row>
    <row r="37" spans="1:29" ht="18.5" customHeight="1" x14ac:dyDescent="0.35">
      <c r="A37" s="27"/>
      <c r="B37" s="20" t="s">
        <v>69</v>
      </c>
      <c r="C37" s="7" t="s">
        <v>70</v>
      </c>
      <c r="D37" s="7" t="s">
        <v>81</v>
      </c>
      <c r="E37" s="7" t="s">
        <v>84</v>
      </c>
      <c r="F37" s="7">
        <v>22.507999999999999</v>
      </c>
      <c r="G37" s="7">
        <v>23.196999999999999</v>
      </c>
      <c r="H37" s="7">
        <f t="shared" si="0"/>
        <v>3.0611338190865474</v>
      </c>
      <c r="I37" s="7">
        <f t="shared" si="1"/>
        <v>0.68900000000000006</v>
      </c>
      <c r="J37" s="7">
        <v>55861</v>
      </c>
      <c r="K37" s="7">
        <v>55825</v>
      </c>
      <c r="L37" s="7">
        <f t="shared" si="2"/>
        <v>-6.4445677664202214E-2</v>
      </c>
      <c r="M37" s="7">
        <f t="shared" si="3"/>
        <v>-36</v>
      </c>
      <c r="N37" s="7">
        <v>4.8339999999999996</v>
      </c>
      <c r="O37" s="7">
        <v>5.4770000000000003</v>
      </c>
      <c r="P37" s="7">
        <f t="shared" si="4"/>
        <v>13.30161357054201</v>
      </c>
      <c r="Q37" s="7">
        <f t="shared" si="5"/>
        <v>0.64300000000000068</v>
      </c>
      <c r="R37" s="7">
        <v>79587</v>
      </c>
      <c r="S37" s="7">
        <v>82039</v>
      </c>
      <c r="T37" s="7">
        <f t="shared" si="6"/>
        <v>3.080905172955382</v>
      </c>
      <c r="U37" s="7">
        <f t="shared" si="7"/>
        <v>2452</v>
      </c>
      <c r="V37" s="7" t="s">
        <v>75</v>
      </c>
      <c r="W37" s="7" t="s">
        <v>75</v>
      </c>
      <c r="X37" s="7" t="s">
        <v>75</v>
      </c>
      <c r="Y37" s="7" t="s">
        <v>75</v>
      </c>
      <c r="Z37" s="7" t="s">
        <v>75</v>
      </c>
      <c r="AA37" s="7" t="s">
        <v>75</v>
      </c>
      <c r="AB37" s="7" t="s">
        <v>75</v>
      </c>
      <c r="AC37" s="7" t="s">
        <v>75</v>
      </c>
    </row>
    <row r="38" spans="1:29" x14ac:dyDescent="0.35">
      <c r="B38" s="8" t="s">
        <v>78</v>
      </c>
      <c r="C38" s="3"/>
      <c r="D38" s="3"/>
      <c r="E38" s="3"/>
      <c r="F38" s="3">
        <f t="shared" ref="F38:I38" si="12">AVERAGE(F3:F37)</f>
        <v>21.252128571428571</v>
      </c>
      <c r="G38" s="3">
        <f t="shared" si="12"/>
        <v>23.283285714285714</v>
      </c>
      <c r="H38" s="3">
        <f t="shared" si="12"/>
        <v>10.14582129165224</v>
      </c>
      <c r="I38" s="3">
        <f t="shared" si="12"/>
        <v>2.0311571428571424</v>
      </c>
      <c r="J38" s="3">
        <f t="shared" ref="J38:AC38" si="13">AVERAGE(J3:J37)</f>
        <v>62365.914285714287</v>
      </c>
      <c r="K38" s="3">
        <f t="shared" si="13"/>
        <v>59504.314285714288</v>
      </c>
      <c r="L38" s="3">
        <f t="shared" si="13"/>
        <v>-4.7194875486829053</v>
      </c>
      <c r="M38" s="3">
        <f t="shared" si="13"/>
        <v>-2861.6</v>
      </c>
      <c r="N38" s="3">
        <f t="shared" si="13"/>
        <v>5.7494571428571417</v>
      </c>
      <c r="O38" s="3">
        <f t="shared" si="13"/>
        <v>7.0301714285714292</v>
      </c>
      <c r="P38" s="3">
        <f t="shared" si="13"/>
        <v>25.627898441083232</v>
      </c>
      <c r="Q38" s="3">
        <f t="shared" si="13"/>
        <v>1.2807142857142857</v>
      </c>
      <c r="R38" s="3">
        <f t="shared" si="13"/>
        <v>68964.21428571429</v>
      </c>
      <c r="S38" s="3">
        <f t="shared" si="13"/>
        <v>66364.142857142855</v>
      </c>
      <c r="T38" s="3">
        <f t="shared" si="13"/>
        <v>-3.858095182646371</v>
      </c>
      <c r="U38" s="3">
        <f t="shared" si="13"/>
        <v>-2600.0714285714284</v>
      </c>
      <c r="V38" s="3">
        <f t="shared" si="13"/>
        <v>17.927482142857137</v>
      </c>
      <c r="W38" s="3">
        <f t="shared" si="13"/>
        <v>18.295392857142854</v>
      </c>
      <c r="X38" s="3">
        <f t="shared" si="13"/>
        <v>4.3395889085924475</v>
      </c>
      <c r="Y38" s="3">
        <f t="shared" si="13"/>
        <v>0.36791071428571398</v>
      </c>
      <c r="Z38" s="3">
        <f t="shared" si="13"/>
        <v>8.1196964285714284</v>
      </c>
      <c r="AA38" s="3">
        <f t="shared" si="13"/>
        <v>8.5240714285714283</v>
      </c>
      <c r="AB38" s="3">
        <f t="shared" si="13"/>
        <v>7.8664595070938699</v>
      </c>
      <c r="AC38" s="3">
        <f t="shared" si="13"/>
        <v>0.40437500000000004</v>
      </c>
    </row>
    <row r="39" spans="1:29" x14ac:dyDescent="0.35">
      <c r="B39" s="4" t="s">
        <v>79</v>
      </c>
      <c r="C39" s="3"/>
      <c r="D39" s="3"/>
      <c r="E39" s="3"/>
      <c r="F39" s="3">
        <f t="shared" ref="F39:I39" si="14">STDEV(F3:F37)</f>
        <v>5.3826976048299517</v>
      </c>
      <c r="G39" s="3">
        <f t="shared" si="14"/>
        <v>5.8257110980823157</v>
      </c>
      <c r="H39" s="3">
        <f t="shared" si="14"/>
        <v>10.372002399971018</v>
      </c>
      <c r="I39" s="3">
        <f t="shared" si="14"/>
        <v>2.2437843681504477</v>
      </c>
      <c r="J39" s="3">
        <f t="shared" ref="J39:AC39" si="15">STDEV(J3:J37)</f>
        <v>9890.0759502271048</v>
      </c>
      <c r="K39" s="3">
        <f t="shared" si="15"/>
        <v>11279.494056163394</v>
      </c>
      <c r="L39" s="3">
        <f t="shared" si="15"/>
        <v>7.3741873438328112</v>
      </c>
      <c r="M39" s="3">
        <f t="shared" si="15"/>
        <v>5010.528306358874</v>
      </c>
      <c r="N39" s="3">
        <f t="shared" si="15"/>
        <v>1.9888670007415461</v>
      </c>
      <c r="O39" s="3">
        <f t="shared" si="15"/>
        <v>2.2600971151142826</v>
      </c>
      <c r="P39" s="3">
        <f t="shared" si="15"/>
        <v>27.869166791297801</v>
      </c>
      <c r="Q39" s="3">
        <f t="shared" si="15"/>
        <v>1.2298179640865206</v>
      </c>
      <c r="R39" s="3">
        <f t="shared" si="15"/>
        <v>10746.760748822728</v>
      </c>
      <c r="S39" s="3">
        <f t="shared" si="15"/>
        <v>12681.737817319306</v>
      </c>
      <c r="T39" s="3">
        <f t="shared" si="15"/>
        <v>10.218901300594871</v>
      </c>
      <c r="U39" s="3">
        <f t="shared" si="15"/>
        <v>6694.7775180962308</v>
      </c>
      <c r="V39" s="3">
        <f t="shared" si="15"/>
        <v>3.9520155651828226</v>
      </c>
      <c r="W39" s="3">
        <f t="shared" si="15"/>
        <v>3.6469588684402856</v>
      </c>
      <c r="X39" s="3">
        <f t="shared" si="15"/>
        <v>21.244106427841274</v>
      </c>
      <c r="Y39" s="3">
        <f t="shared" si="15"/>
        <v>3.2485595612847074</v>
      </c>
      <c r="Z39" s="3">
        <f t="shared" si="15"/>
        <v>2.1170930775182417</v>
      </c>
      <c r="AA39" s="3">
        <f t="shared" si="15"/>
        <v>1.8110752674415918</v>
      </c>
      <c r="AB39" s="3">
        <f t="shared" si="15"/>
        <v>22.078721716427559</v>
      </c>
      <c r="AC39" s="3">
        <f t="shared" si="15"/>
        <v>1.6740299713288911</v>
      </c>
    </row>
    <row r="40" spans="1:29" ht="18.5" customHeight="1" x14ac:dyDescent="0.35">
      <c r="B40" s="2"/>
    </row>
    <row r="41" spans="1:29" ht="18.5" customHeight="1" x14ac:dyDescent="0.35">
      <c r="A41" s="24" t="s">
        <v>87</v>
      </c>
      <c r="B41" s="21" t="s">
        <v>1</v>
      </c>
      <c r="C41" s="10" t="s">
        <v>2</v>
      </c>
      <c r="D41" s="10" t="s">
        <v>82</v>
      </c>
      <c r="E41" s="10" t="s">
        <v>84</v>
      </c>
      <c r="F41" s="11">
        <v>14.845499999999999</v>
      </c>
      <c r="G41" s="11">
        <v>15.736000000000001</v>
      </c>
      <c r="H41" s="11">
        <f>(G41-F41)/F41*100</f>
        <v>5.998450708969056</v>
      </c>
      <c r="I41" s="11">
        <f>G41-F41</f>
        <v>0.89050000000000118</v>
      </c>
      <c r="J41" s="11">
        <v>66007.5</v>
      </c>
      <c r="K41" s="11">
        <v>65454</v>
      </c>
      <c r="L41" s="11">
        <f>(K41-J41)/J41*100</f>
        <v>-0.83854107487785468</v>
      </c>
      <c r="M41" s="11">
        <f>K41-J41</f>
        <v>-553.5</v>
      </c>
      <c r="N41" s="11">
        <v>3.6960000000000002</v>
      </c>
      <c r="O41" s="11">
        <v>4.7220000000000004</v>
      </c>
      <c r="P41" s="11">
        <f>(O41-N41)/N41*100</f>
        <v>27.759740259740269</v>
      </c>
      <c r="Q41" s="11">
        <f>O41-N41</f>
        <v>1.0260000000000002</v>
      </c>
      <c r="R41" s="11">
        <v>63456.5</v>
      </c>
      <c r="S41" s="11">
        <v>66209</v>
      </c>
      <c r="T41" s="11">
        <f>(S41-R41)/R41*100</f>
        <v>4.3376171077824965</v>
      </c>
      <c r="U41" s="11">
        <f>S41-R41</f>
        <v>2752.5</v>
      </c>
      <c r="V41" s="11">
        <v>16.9925</v>
      </c>
      <c r="W41" s="11">
        <v>16.116</v>
      </c>
      <c r="X41" s="11">
        <f>(W41-V41)/V41*100</f>
        <v>-5.1581580108871563</v>
      </c>
      <c r="Y41" s="11">
        <f>W41-V41</f>
        <v>-0.87650000000000006</v>
      </c>
      <c r="Z41" s="11">
        <v>6.6219999999999999</v>
      </c>
      <c r="AA41" s="11">
        <v>6.7069999999999999</v>
      </c>
      <c r="AB41" s="11">
        <f>(AA41-Z41)/Z41*100</f>
        <v>1.2836001208094225</v>
      </c>
      <c r="AC41" s="11">
        <f>AA41-Z41</f>
        <v>8.4999999999999964E-2</v>
      </c>
    </row>
    <row r="42" spans="1:29" ht="18.5" customHeight="1" x14ac:dyDescent="0.35">
      <c r="A42" s="25"/>
      <c r="B42" s="21" t="s">
        <v>3</v>
      </c>
      <c r="C42" s="10" t="s">
        <v>4</v>
      </c>
      <c r="D42" s="10" t="s">
        <v>81</v>
      </c>
      <c r="E42" s="10" t="s">
        <v>84</v>
      </c>
      <c r="F42" s="11">
        <v>19.025500000000001</v>
      </c>
      <c r="G42" s="11">
        <v>21.242000000000001</v>
      </c>
      <c r="H42" s="11">
        <f t="shared" ref="H42:H75" si="16">(G42-F42)/F42*100</f>
        <v>11.650153741031772</v>
      </c>
      <c r="I42" s="11">
        <f t="shared" ref="I42:I75" si="17">G42-F42</f>
        <v>2.2164999999999999</v>
      </c>
      <c r="J42" s="11">
        <v>56969</v>
      </c>
      <c r="K42" s="11">
        <v>56014</v>
      </c>
      <c r="L42" s="11">
        <f t="shared" ref="L42:L75" si="18">(K42-J42)/J42*100</f>
        <v>-1.6763502957748952</v>
      </c>
      <c r="M42" s="11">
        <f t="shared" ref="M42:M75" si="19">K42-J42</f>
        <v>-955</v>
      </c>
      <c r="N42" s="11">
        <v>5.4649999999999999</v>
      </c>
      <c r="O42" s="11">
        <v>6.6059999999999999</v>
      </c>
      <c r="P42" s="11">
        <f t="shared" ref="P42:P75" si="20">(O42-N42)/N42*100</f>
        <v>20.878316559926809</v>
      </c>
      <c r="Q42" s="11">
        <f t="shared" ref="Q42:Q75" si="21">O42-N42</f>
        <v>1.141</v>
      </c>
      <c r="R42" s="11">
        <v>79482</v>
      </c>
      <c r="S42" s="11">
        <v>70436</v>
      </c>
      <c r="T42" s="11">
        <f t="shared" ref="T42:T75" si="22">(S42-R42)/R42*100</f>
        <v>-11.381193226139253</v>
      </c>
      <c r="U42" s="11">
        <f t="shared" ref="U42:U75" si="23">S42-R42</f>
        <v>-9046</v>
      </c>
      <c r="V42" s="11">
        <v>14.657</v>
      </c>
      <c r="W42" s="11">
        <v>17.936</v>
      </c>
      <c r="X42" s="11">
        <f t="shared" ref="X42:X74" si="24">(W42-V42)/V42*100</f>
        <v>22.371563075663506</v>
      </c>
      <c r="Y42" s="11">
        <f t="shared" ref="Y42:Y74" si="25">W42-V42</f>
        <v>3.2789999999999999</v>
      </c>
      <c r="Z42" s="11">
        <v>5.9989999999999997</v>
      </c>
      <c r="AA42" s="11">
        <v>5.2930000000000001</v>
      </c>
      <c r="AB42" s="11">
        <f t="shared" ref="AB42:AB74" si="26">(AA42-Z42)/Z42*100</f>
        <v>-11.768628104684106</v>
      </c>
      <c r="AC42" s="11">
        <f t="shared" ref="AC42:AC74" si="27">AA42-Z42</f>
        <v>-0.70599999999999952</v>
      </c>
    </row>
    <row r="43" spans="1:29" ht="18.5" customHeight="1" x14ac:dyDescent="0.35">
      <c r="A43" s="25"/>
      <c r="B43" s="21" t="s">
        <v>5</v>
      </c>
      <c r="C43" s="10" t="s">
        <v>6</v>
      </c>
      <c r="D43" s="10" t="s">
        <v>81</v>
      </c>
      <c r="E43" s="10" t="s">
        <v>84</v>
      </c>
      <c r="F43" s="11">
        <v>23.088000000000001</v>
      </c>
      <c r="G43" s="11">
        <v>26.873999999999999</v>
      </c>
      <c r="H43" s="11">
        <f t="shared" si="16"/>
        <v>16.398128898128888</v>
      </c>
      <c r="I43" s="11">
        <f t="shared" si="17"/>
        <v>3.7859999999999978</v>
      </c>
      <c r="J43" s="11">
        <v>54309.5</v>
      </c>
      <c r="K43" s="11">
        <v>53389</v>
      </c>
      <c r="L43" s="11">
        <f t="shared" si="18"/>
        <v>-1.6949152542372881</v>
      </c>
      <c r="M43" s="11">
        <f t="shared" si="19"/>
        <v>-920.5</v>
      </c>
      <c r="N43" s="11">
        <v>5.7255000000000003</v>
      </c>
      <c r="O43" s="11">
        <v>6.7130000000000001</v>
      </c>
      <c r="P43" s="11">
        <f t="shared" si="20"/>
        <v>17.247401973626751</v>
      </c>
      <c r="Q43" s="11">
        <f t="shared" si="21"/>
        <v>0.98749999999999982</v>
      </c>
      <c r="R43" s="11">
        <v>70271</v>
      </c>
      <c r="S43" s="11">
        <v>61621</v>
      </c>
      <c r="T43" s="11">
        <f t="shared" si="22"/>
        <v>-12.309487555321541</v>
      </c>
      <c r="U43" s="11">
        <f t="shared" si="23"/>
        <v>-8650</v>
      </c>
      <c r="V43" s="11" t="s">
        <v>75</v>
      </c>
      <c r="W43" s="11" t="s">
        <v>75</v>
      </c>
      <c r="X43" s="11" t="s">
        <v>75</v>
      </c>
      <c r="Y43" s="11" t="s">
        <v>75</v>
      </c>
      <c r="Z43" s="11" t="s">
        <v>75</v>
      </c>
      <c r="AA43" s="11" t="s">
        <v>75</v>
      </c>
      <c r="AB43" s="11" t="s">
        <v>75</v>
      </c>
      <c r="AC43" s="11" t="s">
        <v>75</v>
      </c>
    </row>
    <row r="44" spans="1:29" ht="18.5" customHeight="1" x14ac:dyDescent="0.35">
      <c r="A44" s="25"/>
      <c r="B44" s="21" t="s">
        <v>7</v>
      </c>
      <c r="C44" s="10" t="s">
        <v>8</v>
      </c>
      <c r="D44" s="10" t="s">
        <v>81</v>
      </c>
      <c r="E44" s="10" t="s">
        <v>84</v>
      </c>
      <c r="F44" s="11">
        <v>25.097000000000001</v>
      </c>
      <c r="G44" s="11">
        <v>27.619</v>
      </c>
      <c r="H44" s="11">
        <f t="shared" si="16"/>
        <v>10.049009841813756</v>
      </c>
      <c r="I44" s="11">
        <f t="shared" si="17"/>
        <v>2.5219999999999985</v>
      </c>
      <c r="J44" s="11">
        <v>67083.5</v>
      </c>
      <c r="K44" s="11">
        <v>68066</v>
      </c>
      <c r="L44" s="11">
        <f t="shared" si="18"/>
        <v>1.4645926345524607</v>
      </c>
      <c r="M44" s="11">
        <f t="shared" si="19"/>
        <v>982.5</v>
      </c>
      <c r="N44" s="11">
        <v>6.0759999999999996</v>
      </c>
      <c r="O44" s="11">
        <v>9.3529999999999998</v>
      </c>
      <c r="P44" s="11">
        <f t="shared" si="20"/>
        <v>53.933508887425944</v>
      </c>
      <c r="Q44" s="11">
        <f t="shared" si="21"/>
        <v>3.2770000000000001</v>
      </c>
      <c r="R44" s="11">
        <v>80201</v>
      </c>
      <c r="S44" s="11">
        <v>81422</v>
      </c>
      <c r="T44" s="11">
        <f t="shared" si="22"/>
        <v>1.5224249074201068</v>
      </c>
      <c r="U44" s="11">
        <f t="shared" si="23"/>
        <v>1221</v>
      </c>
      <c r="V44" s="11">
        <v>19.347999999999999</v>
      </c>
      <c r="W44" s="11">
        <v>12.246</v>
      </c>
      <c r="X44" s="11">
        <f t="shared" si="24"/>
        <v>-36.70663634484184</v>
      </c>
      <c r="Y44" s="11">
        <f t="shared" si="25"/>
        <v>-7.1019999999999985</v>
      </c>
      <c r="Z44" s="11">
        <v>9.609</v>
      </c>
      <c r="AA44" s="11">
        <v>15.099</v>
      </c>
      <c r="AB44" s="11">
        <f t="shared" si="26"/>
        <v>57.133936934124264</v>
      </c>
      <c r="AC44" s="11">
        <f t="shared" si="27"/>
        <v>5.49</v>
      </c>
    </row>
    <row r="45" spans="1:29" ht="18.5" customHeight="1" x14ac:dyDescent="0.35">
      <c r="A45" s="25"/>
      <c r="B45" s="21" t="s">
        <v>9</v>
      </c>
      <c r="C45" s="10" t="s">
        <v>10</v>
      </c>
      <c r="D45" s="10" t="s">
        <v>82</v>
      </c>
      <c r="E45" s="10" t="s">
        <v>85</v>
      </c>
      <c r="F45" s="11">
        <v>17.495000000000001</v>
      </c>
      <c r="G45" s="11">
        <v>17.591000000000001</v>
      </c>
      <c r="H45" s="11">
        <f t="shared" si="16"/>
        <v>0.548728208059446</v>
      </c>
      <c r="I45" s="11">
        <f t="shared" si="17"/>
        <v>9.6000000000000085E-2</v>
      </c>
      <c r="J45" s="11">
        <v>46095</v>
      </c>
      <c r="K45" s="11">
        <v>46981</v>
      </c>
      <c r="L45" s="11">
        <f t="shared" si="18"/>
        <v>1.9221173663087103</v>
      </c>
      <c r="M45" s="11">
        <f t="shared" si="19"/>
        <v>886</v>
      </c>
      <c r="N45" s="11">
        <v>4.07</v>
      </c>
      <c r="O45" s="11">
        <v>4.4960000000000004</v>
      </c>
      <c r="P45" s="11">
        <f t="shared" si="20"/>
        <v>10.466830466830469</v>
      </c>
      <c r="Q45" s="11">
        <f t="shared" si="21"/>
        <v>0.42600000000000016</v>
      </c>
      <c r="R45" s="11">
        <v>56576</v>
      </c>
      <c r="S45" s="11">
        <v>56089</v>
      </c>
      <c r="T45" s="11">
        <f t="shared" si="22"/>
        <v>-0.86078902714932137</v>
      </c>
      <c r="U45" s="11">
        <f t="shared" si="23"/>
        <v>-487</v>
      </c>
      <c r="V45" s="11">
        <v>11.6615</v>
      </c>
      <c r="W45" s="11">
        <v>11.452</v>
      </c>
      <c r="X45" s="11">
        <f t="shared" si="24"/>
        <v>-1.7965098829481649</v>
      </c>
      <c r="Y45" s="11">
        <f t="shared" si="25"/>
        <v>-0.20950000000000024</v>
      </c>
      <c r="Z45" s="11">
        <v>13.0915</v>
      </c>
      <c r="AA45" s="11">
        <v>14.769</v>
      </c>
      <c r="AB45" s="11">
        <f t="shared" si="26"/>
        <v>12.813657716839172</v>
      </c>
      <c r="AC45" s="11">
        <f t="shared" si="27"/>
        <v>1.6775000000000002</v>
      </c>
    </row>
    <row r="46" spans="1:29" ht="18.5" customHeight="1" x14ac:dyDescent="0.35">
      <c r="A46" s="25"/>
      <c r="B46" s="21" t="s">
        <v>11</v>
      </c>
      <c r="C46" s="10" t="s">
        <v>12</v>
      </c>
      <c r="D46" s="10" t="s">
        <v>82</v>
      </c>
      <c r="E46" s="10" t="s">
        <v>84</v>
      </c>
      <c r="F46" s="11">
        <v>12.22</v>
      </c>
      <c r="G46" s="11">
        <v>14.817</v>
      </c>
      <c r="H46" s="11">
        <f t="shared" si="16"/>
        <v>21.252045826513907</v>
      </c>
      <c r="I46" s="11">
        <f t="shared" si="17"/>
        <v>2.5969999999999995</v>
      </c>
      <c r="J46" s="11">
        <v>78298.5</v>
      </c>
      <c r="K46" s="11">
        <v>78501</v>
      </c>
      <c r="L46" s="11">
        <f t="shared" si="18"/>
        <v>0.25862564416942851</v>
      </c>
      <c r="M46" s="11">
        <f t="shared" si="19"/>
        <v>202.5</v>
      </c>
      <c r="N46" s="11">
        <v>4.0880000000000001</v>
      </c>
      <c r="O46" s="11">
        <v>5.8520000000000003</v>
      </c>
      <c r="P46" s="11">
        <f t="shared" si="20"/>
        <v>43.150684931506852</v>
      </c>
      <c r="Q46" s="11">
        <f t="shared" si="21"/>
        <v>1.7640000000000002</v>
      </c>
      <c r="R46" s="11">
        <v>77713</v>
      </c>
      <c r="S46" s="11">
        <v>71718</v>
      </c>
      <c r="T46" s="11">
        <f t="shared" si="22"/>
        <v>-7.7142820377543009</v>
      </c>
      <c r="U46" s="11">
        <f t="shared" si="23"/>
        <v>-5995</v>
      </c>
      <c r="V46" s="11" t="s">
        <v>75</v>
      </c>
      <c r="W46" s="11" t="s">
        <v>75</v>
      </c>
      <c r="X46" s="11" t="s">
        <v>75</v>
      </c>
      <c r="Y46" s="11" t="s">
        <v>75</v>
      </c>
      <c r="Z46" s="11" t="s">
        <v>75</v>
      </c>
      <c r="AA46" s="11" t="s">
        <v>75</v>
      </c>
      <c r="AB46" s="11" t="s">
        <v>75</v>
      </c>
      <c r="AC46" s="11" t="s">
        <v>75</v>
      </c>
    </row>
    <row r="47" spans="1:29" ht="18.5" customHeight="1" x14ac:dyDescent="0.35">
      <c r="A47" s="25"/>
      <c r="B47" s="21" t="s">
        <v>13</v>
      </c>
      <c r="C47" s="10" t="s">
        <v>14</v>
      </c>
      <c r="D47" s="10" t="s">
        <v>82</v>
      </c>
      <c r="E47" s="10" t="s">
        <v>84</v>
      </c>
      <c r="F47" s="11">
        <v>23.230625</v>
      </c>
      <c r="G47" s="11">
        <v>25.823</v>
      </c>
      <c r="H47" s="11">
        <f t="shared" si="16"/>
        <v>11.159299416180152</v>
      </c>
      <c r="I47" s="11">
        <f t="shared" si="17"/>
        <v>2.5923750000000005</v>
      </c>
      <c r="J47" s="11">
        <v>62071.625</v>
      </c>
      <c r="K47" s="11">
        <v>56125</v>
      </c>
      <c r="L47" s="11">
        <f t="shared" si="18"/>
        <v>-9.5802631234481126</v>
      </c>
      <c r="M47" s="11">
        <f t="shared" si="19"/>
        <v>-5946.625</v>
      </c>
      <c r="N47" s="11">
        <v>6.6363750000000001</v>
      </c>
      <c r="O47" s="11">
        <v>6.2930000000000001</v>
      </c>
      <c r="P47" s="11">
        <f t="shared" si="20"/>
        <v>-5.1741349757962745</v>
      </c>
      <c r="Q47" s="11">
        <f t="shared" si="21"/>
        <v>-0.34337499999999999</v>
      </c>
      <c r="R47" s="11">
        <v>57994.125</v>
      </c>
      <c r="S47" s="11">
        <v>56544</v>
      </c>
      <c r="T47" s="11">
        <f t="shared" si="22"/>
        <v>-2.5004687974859525</v>
      </c>
      <c r="U47" s="11">
        <f t="shared" si="23"/>
        <v>-1450.125</v>
      </c>
      <c r="V47" s="11">
        <v>25.199000000000002</v>
      </c>
      <c r="W47" s="11">
        <v>26.141999999999999</v>
      </c>
      <c r="X47" s="11">
        <f t="shared" si="24"/>
        <v>3.742211992539378</v>
      </c>
      <c r="Y47" s="11">
        <f t="shared" si="25"/>
        <v>0.94299999999999784</v>
      </c>
      <c r="Z47" s="11">
        <v>6.351</v>
      </c>
      <c r="AA47" s="11">
        <v>6.867</v>
      </c>
      <c r="AB47" s="11">
        <f t="shared" si="26"/>
        <v>8.1247047709022198</v>
      </c>
      <c r="AC47" s="11">
        <f t="shared" si="27"/>
        <v>0.51600000000000001</v>
      </c>
    </row>
    <row r="48" spans="1:29" ht="18.5" customHeight="1" x14ac:dyDescent="0.35">
      <c r="A48" s="25"/>
      <c r="B48" s="21" t="s">
        <v>15</v>
      </c>
      <c r="C48" s="10" t="s">
        <v>16</v>
      </c>
      <c r="D48" s="10" t="s">
        <v>81</v>
      </c>
      <c r="E48" s="10" t="s">
        <v>85</v>
      </c>
      <c r="F48" s="11">
        <v>24.575500000000002</v>
      </c>
      <c r="G48" s="11">
        <v>28.75</v>
      </c>
      <c r="H48" s="11">
        <f t="shared" si="16"/>
        <v>16.986429574169389</v>
      </c>
      <c r="I48" s="11">
        <f t="shared" si="17"/>
        <v>4.1744999999999983</v>
      </c>
      <c r="J48" s="11">
        <v>63853</v>
      </c>
      <c r="K48" s="11">
        <v>58432</v>
      </c>
      <c r="L48" s="11">
        <f t="shared" si="18"/>
        <v>-8.4898125381736183</v>
      </c>
      <c r="M48" s="11">
        <f t="shared" si="19"/>
        <v>-5421</v>
      </c>
      <c r="N48" s="11">
        <v>5.7030000000000003</v>
      </c>
      <c r="O48" s="11">
        <v>7.4489999999999998</v>
      </c>
      <c r="P48" s="11">
        <f t="shared" si="20"/>
        <v>30.615465544450281</v>
      </c>
      <c r="Q48" s="11">
        <f t="shared" si="21"/>
        <v>1.7459999999999996</v>
      </c>
      <c r="R48" s="11">
        <v>64771</v>
      </c>
      <c r="S48" s="11">
        <v>56659</v>
      </c>
      <c r="T48" s="11">
        <f t="shared" si="22"/>
        <v>-12.524123450309551</v>
      </c>
      <c r="U48" s="11">
        <f t="shared" si="23"/>
        <v>-8112</v>
      </c>
      <c r="V48" s="11">
        <v>27.13</v>
      </c>
      <c r="W48" s="11">
        <v>22.321000000000002</v>
      </c>
      <c r="X48" s="11">
        <f t="shared" si="24"/>
        <v>-17.725764835974928</v>
      </c>
      <c r="Y48" s="11">
        <f t="shared" si="25"/>
        <v>-4.8089999999999975</v>
      </c>
      <c r="Z48" s="11">
        <v>8.4860000000000007</v>
      </c>
      <c r="AA48" s="11">
        <v>9.923</v>
      </c>
      <c r="AB48" s="11">
        <f t="shared" si="26"/>
        <v>16.933773273627143</v>
      </c>
      <c r="AC48" s="11">
        <f t="shared" si="27"/>
        <v>1.4369999999999994</v>
      </c>
    </row>
    <row r="49" spans="1:29" ht="18.5" customHeight="1" x14ac:dyDescent="0.35">
      <c r="A49" s="25"/>
      <c r="B49" s="21" t="s">
        <v>17</v>
      </c>
      <c r="C49" s="10" t="s">
        <v>18</v>
      </c>
      <c r="D49" s="10" t="s">
        <v>81</v>
      </c>
      <c r="E49" s="10" t="s">
        <v>85</v>
      </c>
      <c r="F49" s="11">
        <v>15.718500000000001</v>
      </c>
      <c r="G49" s="11">
        <v>19.300999999999998</v>
      </c>
      <c r="H49" s="11">
        <f t="shared" si="16"/>
        <v>22.791614975983698</v>
      </c>
      <c r="I49" s="11">
        <f t="shared" si="17"/>
        <v>3.5824999999999978</v>
      </c>
      <c r="J49" s="11">
        <v>76805</v>
      </c>
      <c r="K49" s="11">
        <v>60072</v>
      </c>
      <c r="L49" s="11">
        <f t="shared" si="18"/>
        <v>-21.786342035023761</v>
      </c>
      <c r="M49" s="11">
        <f t="shared" si="19"/>
        <v>-16733</v>
      </c>
      <c r="N49" s="11">
        <v>4.4770000000000003</v>
      </c>
      <c r="O49" s="11">
        <v>6.5279999999999996</v>
      </c>
      <c r="P49" s="11">
        <f t="shared" si="20"/>
        <v>45.81192763010943</v>
      </c>
      <c r="Q49" s="11">
        <f t="shared" si="21"/>
        <v>2.0509999999999993</v>
      </c>
      <c r="R49" s="11">
        <v>84797</v>
      </c>
      <c r="S49" s="11">
        <v>69845</v>
      </c>
      <c r="T49" s="11">
        <f t="shared" si="22"/>
        <v>-17.632699270021345</v>
      </c>
      <c r="U49" s="11">
        <f t="shared" si="23"/>
        <v>-14952</v>
      </c>
      <c r="V49" s="11">
        <v>15.762499999999999</v>
      </c>
      <c r="W49" s="11">
        <v>13.307</v>
      </c>
      <c r="X49" s="11">
        <f t="shared" si="24"/>
        <v>-15.578112609040437</v>
      </c>
      <c r="Y49" s="11">
        <f t="shared" si="25"/>
        <v>-2.4554999999999989</v>
      </c>
      <c r="Z49" s="11">
        <v>8.7289999999999992</v>
      </c>
      <c r="AA49" s="11">
        <v>9.1229999999999993</v>
      </c>
      <c r="AB49" s="11">
        <f t="shared" si="26"/>
        <v>4.5136899988543959</v>
      </c>
      <c r="AC49" s="11">
        <f t="shared" si="27"/>
        <v>0.39400000000000013</v>
      </c>
    </row>
    <row r="50" spans="1:29" ht="18.5" customHeight="1" x14ac:dyDescent="0.35">
      <c r="A50" s="25"/>
      <c r="B50" s="21" t="s">
        <v>19</v>
      </c>
      <c r="C50" s="10" t="s">
        <v>20</v>
      </c>
      <c r="D50" s="10" t="s">
        <v>81</v>
      </c>
      <c r="E50" s="10" t="s">
        <v>84</v>
      </c>
      <c r="F50" s="11">
        <v>19.221499999999999</v>
      </c>
      <c r="G50" s="11">
        <v>20.056000000000001</v>
      </c>
      <c r="H50" s="11">
        <f t="shared" si="16"/>
        <v>4.3414925994329376</v>
      </c>
      <c r="I50" s="11">
        <f t="shared" si="17"/>
        <v>0.83450000000000202</v>
      </c>
      <c r="J50" s="11">
        <v>45179.5</v>
      </c>
      <c r="K50" s="11">
        <v>43368</v>
      </c>
      <c r="L50" s="11">
        <f t="shared" si="18"/>
        <v>-4.0095618588076452</v>
      </c>
      <c r="M50" s="11">
        <f t="shared" si="19"/>
        <v>-1811.5</v>
      </c>
      <c r="N50" s="11">
        <v>4.6185</v>
      </c>
      <c r="O50" s="11">
        <v>6.4189999999999996</v>
      </c>
      <c r="P50" s="11">
        <f t="shared" si="20"/>
        <v>38.984518783154691</v>
      </c>
      <c r="Q50" s="11">
        <f t="shared" si="21"/>
        <v>1.8004999999999995</v>
      </c>
      <c r="R50" s="11">
        <v>48098</v>
      </c>
      <c r="S50" s="11">
        <v>47151</v>
      </c>
      <c r="T50" s="11">
        <f t="shared" si="22"/>
        <v>-1.9688968356272609</v>
      </c>
      <c r="U50" s="11">
        <f t="shared" si="23"/>
        <v>-947</v>
      </c>
      <c r="V50" s="11" t="s">
        <v>75</v>
      </c>
      <c r="W50" s="11" t="s">
        <v>75</v>
      </c>
      <c r="X50" s="11" t="s">
        <v>75</v>
      </c>
      <c r="Y50" s="11" t="s">
        <v>75</v>
      </c>
      <c r="Z50" s="11" t="s">
        <v>75</v>
      </c>
      <c r="AA50" s="11" t="s">
        <v>75</v>
      </c>
      <c r="AB50" s="11" t="s">
        <v>75</v>
      </c>
      <c r="AC50" s="11" t="s">
        <v>75</v>
      </c>
    </row>
    <row r="51" spans="1:29" ht="18.5" customHeight="1" x14ac:dyDescent="0.35">
      <c r="A51" s="25"/>
      <c r="B51" s="21" t="s">
        <v>21</v>
      </c>
      <c r="C51" s="10" t="s">
        <v>22</v>
      </c>
      <c r="D51" s="10" t="s">
        <v>81</v>
      </c>
      <c r="E51" s="10" t="s">
        <v>85</v>
      </c>
      <c r="F51" s="11">
        <v>23.388000000000002</v>
      </c>
      <c r="G51" s="11">
        <v>26.222000000000001</v>
      </c>
      <c r="H51" s="11">
        <f t="shared" si="16"/>
        <v>12.117325123995208</v>
      </c>
      <c r="I51" s="11">
        <f t="shared" si="17"/>
        <v>2.8339999999999996</v>
      </c>
      <c r="J51" s="11">
        <v>68484</v>
      </c>
      <c r="K51" s="11">
        <v>61615</v>
      </c>
      <c r="L51" s="11">
        <f t="shared" si="18"/>
        <v>-10.030080018690498</v>
      </c>
      <c r="M51" s="11">
        <f t="shared" si="19"/>
        <v>-6869</v>
      </c>
      <c r="N51" s="11">
        <v>7.5305</v>
      </c>
      <c r="O51" s="11">
        <v>9.2870000000000008</v>
      </c>
      <c r="P51" s="11">
        <f t="shared" si="20"/>
        <v>23.32514441272161</v>
      </c>
      <c r="Q51" s="11">
        <f t="shared" si="21"/>
        <v>1.7565000000000008</v>
      </c>
      <c r="R51" s="11">
        <v>82120</v>
      </c>
      <c r="S51" s="11">
        <v>84882</v>
      </c>
      <c r="T51" s="11">
        <f t="shared" si="22"/>
        <v>3.3633706770579641</v>
      </c>
      <c r="U51" s="11">
        <f t="shared" si="23"/>
        <v>2762</v>
      </c>
      <c r="V51" s="11" t="s">
        <v>75</v>
      </c>
      <c r="W51" s="11" t="s">
        <v>75</v>
      </c>
      <c r="X51" s="11" t="s">
        <v>75</v>
      </c>
      <c r="Y51" s="11" t="s">
        <v>75</v>
      </c>
      <c r="Z51" s="11" t="s">
        <v>75</v>
      </c>
      <c r="AA51" s="11" t="s">
        <v>75</v>
      </c>
      <c r="AB51" s="11" t="s">
        <v>75</v>
      </c>
      <c r="AC51" s="11" t="s">
        <v>75</v>
      </c>
    </row>
    <row r="52" spans="1:29" ht="18.5" customHeight="1" x14ac:dyDescent="0.35">
      <c r="A52" s="25"/>
      <c r="B52" s="21" t="s">
        <v>23</v>
      </c>
      <c r="C52" s="10" t="s">
        <v>24</v>
      </c>
      <c r="D52" s="10" t="s">
        <v>82</v>
      </c>
      <c r="E52" s="10" t="s">
        <v>84</v>
      </c>
      <c r="F52" s="11">
        <v>22.225999999999999</v>
      </c>
      <c r="G52" s="11">
        <v>27.611999999999998</v>
      </c>
      <c r="H52" s="11">
        <f t="shared" si="16"/>
        <v>24.232880410330239</v>
      </c>
      <c r="I52" s="11">
        <f t="shared" si="17"/>
        <v>5.3859999999999992</v>
      </c>
      <c r="J52" s="11">
        <v>64403</v>
      </c>
      <c r="K52" s="11">
        <v>59993</v>
      </c>
      <c r="L52" s="11">
        <f t="shared" si="18"/>
        <v>-6.8475071037063486</v>
      </c>
      <c r="M52" s="11">
        <f t="shared" si="19"/>
        <v>-4410</v>
      </c>
      <c r="N52" s="11">
        <v>5.9610000000000003</v>
      </c>
      <c r="O52" s="11">
        <v>9.3480000000000008</v>
      </c>
      <c r="P52" s="11">
        <f t="shared" si="20"/>
        <v>56.8193256165073</v>
      </c>
      <c r="Q52" s="11">
        <f t="shared" si="21"/>
        <v>3.3870000000000005</v>
      </c>
      <c r="R52" s="11">
        <v>69566</v>
      </c>
      <c r="S52" s="11">
        <v>61369</v>
      </c>
      <c r="T52" s="11">
        <f t="shared" si="22"/>
        <v>-11.783054940631917</v>
      </c>
      <c r="U52" s="11">
        <f t="shared" si="23"/>
        <v>-8197</v>
      </c>
      <c r="V52" s="11">
        <v>19.111000000000001</v>
      </c>
      <c r="W52" s="11">
        <v>24.366</v>
      </c>
      <c r="X52" s="11">
        <f t="shared" si="24"/>
        <v>27.497252891005175</v>
      </c>
      <c r="Y52" s="11">
        <f t="shared" si="25"/>
        <v>5.254999999999999</v>
      </c>
      <c r="Z52" s="11">
        <v>7.1069999999999993</v>
      </c>
      <c r="AA52" s="11">
        <v>7.0129999999999999</v>
      </c>
      <c r="AB52" s="11">
        <f t="shared" si="26"/>
        <v>-1.3226396510482541</v>
      </c>
      <c r="AC52" s="11">
        <f t="shared" si="27"/>
        <v>-9.3999999999999417E-2</v>
      </c>
    </row>
    <row r="53" spans="1:29" ht="18.5" customHeight="1" x14ac:dyDescent="0.35">
      <c r="A53" s="25"/>
      <c r="B53" s="21" t="s">
        <v>25</v>
      </c>
      <c r="C53" s="10" t="s">
        <v>26</v>
      </c>
      <c r="D53" s="10" t="s">
        <v>81</v>
      </c>
      <c r="E53" s="10" t="s">
        <v>85</v>
      </c>
      <c r="F53" s="11">
        <v>19.108000000000001</v>
      </c>
      <c r="G53" s="11">
        <v>19.523</v>
      </c>
      <c r="H53" s="11">
        <f t="shared" si="16"/>
        <v>2.1718651873560768</v>
      </c>
      <c r="I53" s="11">
        <f t="shared" si="17"/>
        <v>0.41499999999999915</v>
      </c>
      <c r="J53" s="11">
        <v>59329.5</v>
      </c>
      <c r="K53" s="11">
        <v>55458</v>
      </c>
      <c r="L53" s="11">
        <f t="shared" si="18"/>
        <v>-6.5254215862260772</v>
      </c>
      <c r="M53" s="11">
        <f t="shared" si="19"/>
        <v>-3871.5</v>
      </c>
      <c r="N53" s="11">
        <v>3.5369999999999999</v>
      </c>
      <c r="O53" s="11">
        <v>3.9220000000000002</v>
      </c>
      <c r="P53" s="11">
        <f t="shared" si="20"/>
        <v>10.884930732258983</v>
      </c>
      <c r="Q53" s="11">
        <f t="shared" si="21"/>
        <v>0.38500000000000023</v>
      </c>
      <c r="R53" s="11">
        <v>52403.5</v>
      </c>
      <c r="S53" s="11">
        <v>61991</v>
      </c>
      <c r="T53" s="11">
        <f t="shared" si="22"/>
        <v>18.295533695268446</v>
      </c>
      <c r="U53" s="11">
        <f t="shared" si="23"/>
        <v>9587.5</v>
      </c>
      <c r="V53" s="11">
        <v>18.12</v>
      </c>
      <c r="W53" s="11">
        <v>17.594000000000001</v>
      </c>
      <c r="X53" s="11">
        <f t="shared" si="24"/>
        <v>-2.9028697571743916</v>
      </c>
      <c r="Y53" s="11">
        <f t="shared" si="25"/>
        <v>-0.5259999999999998</v>
      </c>
      <c r="Z53" s="11">
        <v>7.4260000000000002</v>
      </c>
      <c r="AA53" s="11">
        <v>7.0140000000000002</v>
      </c>
      <c r="AB53" s="11">
        <f t="shared" si="26"/>
        <v>-5.5480743334231066</v>
      </c>
      <c r="AC53" s="11">
        <f t="shared" si="27"/>
        <v>-0.41199999999999992</v>
      </c>
    </row>
    <row r="54" spans="1:29" ht="18.5" customHeight="1" x14ac:dyDescent="0.35">
      <c r="A54" s="25"/>
      <c r="B54" s="21" t="s">
        <v>27</v>
      </c>
      <c r="C54" s="10" t="s">
        <v>28</v>
      </c>
      <c r="D54" s="10" t="s">
        <v>81</v>
      </c>
      <c r="E54" s="10" t="s">
        <v>85</v>
      </c>
      <c r="F54" s="11">
        <v>37.839500000000001</v>
      </c>
      <c r="G54" s="11">
        <v>44.722999999999999</v>
      </c>
      <c r="H54" s="11">
        <f t="shared" si="16"/>
        <v>18.191308024683195</v>
      </c>
      <c r="I54" s="11">
        <f t="shared" si="17"/>
        <v>6.883499999999998</v>
      </c>
      <c r="J54" s="11">
        <v>63095.5</v>
      </c>
      <c r="K54" s="11">
        <v>49876</v>
      </c>
      <c r="L54" s="11">
        <f t="shared" si="18"/>
        <v>-20.95157340856321</v>
      </c>
      <c r="M54" s="11">
        <f t="shared" si="19"/>
        <v>-13219.5</v>
      </c>
      <c r="N54" s="11">
        <v>9.4009999999999998</v>
      </c>
      <c r="O54" s="11">
        <v>11.523999999999999</v>
      </c>
      <c r="P54" s="11">
        <f t="shared" si="20"/>
        <v>22.582703967663008</v>
      </c>
      <c r="Q54" s="11">
        <f t="shared" si="21"/>
        <v>2.1229999999999993</v>
      </c>
      <c r="R54" s="11">
        <v>60947</v>
      </c>
      <c r="S54" s="11">
        <v>60825</v>
      </c>
      <c r="T54" s="11">
        <f t="shared" si="22"/>
        <v>-0.20017392160401659</v>
      </c>
      <c r="U54" s="11">
        <f t="shared" si="23"/>
        <v>-122</v>
      </c>
      <c r="V54" s="11">
        <v>13.789</v>
      </c>
      <c r="W54" s="11">
        <v>13.914</v>
      </c>
      <c r="X54" s="11">
        <f t="shared" si="24"/>
        <v>0.90651968960765839</v>
      </c>
      <c r="Y54" s="11">
        <f t="shared" si="25"/>
        <v>0.125</v>
      </c>
      <c r="Z54" s="11">
        <v>12.224</v>
      </c>
      <c r="AA54" s="11">
        <v>14.56</v>
      </c>
      <c r="AB54" s="11">
        <f t="shared" si="26"/>
        <v>19.109947643979062</v>
      </c>
      <c r="AC54" s="11">
        <f t="shared" si="27"/>
        <v>2.3360000000000003</v>
      </c>
    </row>
    <row r="55" spans="1:29" ht="18.5" customHeight="1" x14ac:dyDescent="0.35">
      <c r="A55" s="25"/>
      <c r="B55" s="21" t="s">
        <v>29</v>
      </c>
      <c r="C55" s="10" t="s">
        <v>30</v>
      </c>
      <c r="D55" s="10" t="s">
        <v>81</v>
      </c>
      <c r="E55" s="10" t="s">
        <v>85</v>
      </c>
      <c r="F55" s="11">
        <v>34.456000000000003</v>
      </c>
      <c r="G55" s="11">
        <v>28.091000000000001</v>
      </c>
      <c r="H55" s="11">
        <f t="shared" si="16"/>
        <v>-18.472834919897846</v>
      </c>
      <c r="I55" s="11">
        <f t="shared" si="17"/>
        <v>-6.365000000000002</v>
      </c>
      <c r="J55" s="11">
        <v>73825.5</v>
      </c>
      <c r="K55" s="11">
        <v>66764</v>
      </c>
      <c r="L55" s="11">
        <f t="shared" si="18"/>
        <v>-9.5651231620510533</v>
      </c>
      <c r="M55" s="11">
        <f t="shared" si="19"/>
        <v>-7061.5</v>
      </c>
      <c r="N55" s="11">
        <v>11.8315</v>
      </c>
      <c r="O55" s="11">
        <v>11.051</v>
      </c>
      <c r="P55" s="11">
        <f t="shared" si="20"/>
        <v>-6.5967966868106327</v>
      </c>
      <c r="Q55" s="11">
        <f t="shared" si="21"/>
        <v>-0.78049999999999997</v>
      </c>
      <c r="R55" s="11">
        <v>85766.5</v>
      </c>
      <c r="S55" s="11">
        <v>84418</v>
      </c>
      <c r="T55" s="11">
        <f t="shared" si="22"/>
        <v>-1.5722922119941936</v>
      </c>
      <c r="U55" s="11">
        <f t="shared" si="23"/>
        <v>-1348.5</v>
      </c>
      <c r="V55" s="11">
        <v>19.431000000000001</v>
      </c>
      <c r="W55" s="11">
        <v>17.292000000000002</v>
      </c>
      <c r="X55" s="11">
        <f t="shared" si="24"/>
        <v>-11.008182800679322</v>
      </c>
      <c r="Y55" s="11">
        <f t="shared" si="25"/>
        <v>-2.1389999999999993</v>
      </c>
      <c r="Z55" s="11">
        <v>9.3330000000000002</v>
      </c>
      <c r="AA55" s="11">
        <v>10.294</v>
      </c>
      <c r="AB55" s="11">
        <f t="shared" si="26"/>
        <v>10.296796314154081</v>
      </c>
      <c r="AC55" s="11">
        <f t="shared" si="27"/>
        <v>0.9610000000000003</v>
      </c>
    </row>
    <row r="56" spans="1:29" ht="18.5" customHeight="1" x14ac:dyDescent="0.35">
      <c r="A56" s="25"/>
      <c r="B56" s="21" t="s">
        <v>31</v>
      </c>
      <c r="C56" s="10" t="s">
        <v>32</v>
      </c>
      <c r="D56" s="10" t="s">
        <v>82</v>
      </c>
      <c r="E56" s="10" t="s">
        <v>84</v>
      </c>
      <c r="F56" s="11">
        <v>15.791499999999999</v>
      </c>
      <c r="G56" s="11">
        <v>17.582999999999998</v>
      </c>
      <c r="H56" s="11">
        <f t="shared" si="16"/>
        <v>11.344710762118856</v>
      </c>
      <c r="I56" s="11">
        <f t="shared" si="17"/>
        <v>1.7914999999999992</v>
      </c>
      <c r="J56" s="11">
        <v>74619.5</v>
      </c>
      <c r="K56" s="11">
        <v>68225</v>
      </c>
      <c r="L56" s="11">
        <f t="shared" si="18"/>
        <v>-8.5694758072621759</v>
      </c>
      <c r="M56" s="11">
        <f t="shared" si="19"/>
        <v>-6394.5</v>
      </c>
      <c r="N56" s="11">
        <v>3.7595000000000001</v>
      </c>
      <c r="O56" s="11">
        <v>6.8449999999999998</v>
      </c>
      <c r="P56" s="11">
        <f t="shared" si="20"/>
        <v>82.072084053730549</v>
      </c>
      <c r="Q56" s="11">
        <f t="shared" si="21"/>
        <v>3.0854999999999997</v>
      </c>
      <c r="R56" s="11">
        <v>79916</v>
      </c>
      <c r="S56" s="11">
        <v>60456</v>
      </c>
      <c r="T56" s="11">
        <f t="shared" si="22"/>
        <v>-24.350568096501327</v>
      </c>
      <c r="U56" s="11">
        <f t="shared" si="23"/>
        <v>-19460</v>
      </c>
      <c r="V56" s="11">
        <v>14.231499999999999</v>
      </c>
      <c r="W56" s="11">
        <v>15.984999999999999</v>
      </c>
      <c r="X56" s="11">
        <f t="shared" si="24"/>
        <v>12.321259178582727</v>
      </c>
      <c r="Y56" s="11">
        <f t="shared" si="25"/>
        <v>1.7535000000000007</v>
      </c>
      <c r="Z56" s="11">
        <v>7.9399999999999995</v>
      </c>
      <c r="AA56" s="11">
        <v>7.5720000000000001</v>
      </c>
      <c r="AB56" s="11">
        <f t="shared" si="26"/>
        <v>-4.6347607052896658</v>
      </c>
      <c r="AC56" s="11">
        <f t="shared" si="27"/>
        <v>-0.36799999999999944</v>
      </c>
    </row>
    <row r="57" spans="1:29" ht="18.5" customHeight="1" x14ac:dyDescent="0.35">
      <c r="A57" s="25"/>
      <c r="B57" s="21" t="s">
        <v>33</v>
      </c>
      <c r="C57" s="10" t="s">
        <v>34</v>
      </c>
      <c r="D57" s="10" t="s">
        <v>81</v>
      </c>
      <c r="E57" s="10" t="s">
        <v>84</v>
      </c>
      <c r="F57" s="11">
        <v>20.100999999999999</v>
      </c>
      <c r="G57" s="11">
        <v>22.954999999999998</v>
      </c>
      <c r="H57" s="11">
        <f t="shared" si="16"/>
        <v>14.198298592109843</v>
      </c>
      <c r="I57" s="11">
        <f t="shared" si="17"/>
        <v>2.8539999999999992</v>
      </c>
      <c r="J57" s="11">
        <v>74980</v>
      </c>
      <c r="K57" s="11">
        <v>78001</v>
      </c>
      <c r="L57" s="11">
        <f t="shared" si="18"/>
        <v>4.0290744198452924</v>
      </c>
      <c r="M57" s="11">
        <f t="shared" si="19"/>
        <v>3021</v>
      </c>
      <c r="N57" s="11">
        <v>5.6669999999999998</v>
      </c>
      <c r="O57" s="11">
        <v>6.61</v>
      </c>
      <c r="P57" s="11">
        <f t="shared" si="20"/>
        <v>16.640197635433218</v>
      </c>
      <c r="Q57" s="11">
        <f t="shared" si="21"/>
        <v>0.9430000000000005</v>
      </c>
      <c r="R57" s="11">
        <v>89293</v>
      </c>
      <c r="S57" s="11">
        <v>77103</v>
      </c>
      <c r="T57" s="11">
        <f t="shared" si="22"/>
        <v>-13.65168602242057</v>
      </c>
      <c r="U57" s="11">
        <f t="shared" si="23"/>
        <v>-12190</v>
      </c>
      <c r="V57" s="11">
        <v>17.459</v>
      </c>
      <c r="W57" s="11">
        <v>22.405999999999999</v>
      </c>
      <c r="X57" s="11">
        <f t="shared" si="24"/>
        <v>28.334956183057447</v>
      </c>
      <c r="Y57" s="11">
        <f t="shared" si="25"/>
        <v>4.9469999999999992</v>
      </c>
      <c r="Z57" s="11">
        <v>10.692</v>
      </c>
      <c r="AA57" s="11">
        <v>10.169</v>
      </c>
      <c r="AB57" s="11">
        <f t="shared" si="26"/>
        <v>-4.8915076692854438</v>
      </c>
      <c r="AC57" s="11">
        <f t="shared" si="27"/>
        <v>-0.52299999999999969</v>
      </c>
    </row>
    <row r="58" spans="1:29" ht="18.5" customHeight="1" x14ac:dyDescent="0.35">
      <c r="A58" s="25"/>
      <c r="B58" s="21" t="s">
        <v>35</v>
      </c>
      <c r="C58" s="10" t="s">
        <v>36</v>
      </c>
      <c r="D58" s="10" t="s">
        <v>82</v>
      </c>
      <c r="E58" s="10" t="s">
        <v>85</v>
      </c>
      <c r="F58" s="11">
        <v>30.465</v>
      </c>
      <c r="G58" s="11">
        <v>32.174999999999997</v>
      </c>
      <c r="H58" s="11">
        <f t="shared" si="16"/>
        <v>5.6129985228951167</v>
      </c>
      <c r="I58" s="11">
        <f t="shared" si="17"/>
        <v>1.7099999999999973</v>
      </c>
      <c r="J58" s="11">
        <v>54457</v>
      </c>
      <c r="K58" s="11">
        <v>55283</v>
      </c>
      <c r="L58" s="11">
        <f t="shared" si="18"/>
        <v>1.5167930660888407</v>
      </c>
      <c r="M58" s="11">
        <f t="shared" si="19"/>
        <v>826</v>
      </c>
      <c r="N58" s="11">
        <v>7.9409999999999998</v>
      </c>
      <c r="O58" s="11">
        <v>8.1660000000000004</v>
      </c>
      <c r="P58" s="11">
        <f t="shared" si="20"/>
        <v>2.8333962976955109</v>
      </c>
      <c r="Q58" s="11">
        <f t="shared" si="21"/>
        <v>0.22500000000000053</v>
      </c>
      <c r="R58" s="11">
        <v>59081.5</v>
      </c>
      <c r="S58" s="11">
        <v>49194</v>
      </c>
      <c r="T58" s="11">
        <f t="shared" si="22"/>
        <v>-16.735357091475333</v>
      </c>
      <c r="U58" s="11">
        <f t="shared" si="23"/>
        <v>-9887.5</v>
      </c>
      <c r="V58" s="11" t="s">
        <v>75</v>
      </c>
      <c r="W58" s="11" t="s">
        <v>75</v>
      </c>
      <c r="X58" s="11" t="s">
        <v>75</v>
      </c>
      <c r="Y58" s="11" t="s">
        <v>75</v>
      </c>
      <c r="Z58" s="11" t="s">
        <v>75</v>
      </c>
      <c r="AA58" s="11" t="s">
        <v>75</v>
      </c>
      <c r="AB58" s="11" t="s">
        <v>75</v>
      </c>
      <c r="AC58" s="11" t="s">
        <v>75</v>
      </c>
    </row>
    <row r="59" spans="1:29" ht="18.5" customHeight="1" x14ac:dyDescent="0.35">
      <c r="A59" s="25"/>
      <c r="B59" s="21" t="s">
        <v>37</v>
      </c>
      <c r="C59" s="10" t="s">
        <v>38</v>
      </c>
      <c r="D59" s="10" t="s">
        <v>82</v>
      </c>
      <c r="E59" s="10" t="s">
        <v>85</v>
      </c>
      <c r="F59" s="11">
        <v>23.566500000000001</v>
      </c>
      <c r="G59" s="11">
        <v>28.231000000000002</v>
      </c>
      <c r="H59" s="11">
        <f t="shared" si="16"/>
        <v>19.792926399762376</v>
      </c>
      <c r="I59" s="11">
        <f t="shared" si="17"/>
        <v>4.6645000000000003</v>
      </c>
      <c r="J59" s="11">
        <v>53552.5</v>
      </c>
      <c r="K59" s="11">
        <v>48324</v>
      </c>
      <c r="L59" s="11">
        <f t="shared" si="18"/>
        <v>-9.7633163717846969</v>
      </c>
      <c r="M59" s="11">
        <f t="shared" si="19"/>
        <v>-5228.5</v>
      </c>
      <c r="N59" s="11">
        <v>6.1074999999999999</v>
      </c>
      <c r="O59" s="11">
        <v>7.54</v>
      </c>
      <c r="P59" s="11">
        <f t="shared" si="20"/>
        <v>23.454768726975033</v>
      </c>
      <c r="Q59" s="11">
        <f t="shared" si="21"/>
        <v>1.4325000000000001</v>
      </c>
      <c r="R59" s="11">
        <v>58286</v>
      </c>
      <c r="S59" s="11">
        <v>55588</v>
      </c>
      <c r="T59" s="11">
        <f t="shared" si="22"/>
        <v>-4.6288988779466766</v>
      </c>
      <c r="U59" s="11">
        <f t="shared" si="23"/>
        <v>-2698</v>
      </c>
      <c r="V59" s="11">
        <v>20.054000000000002</v>
      </c>
      <c r="W59" s="11">
        <v>19.052</v>
      </c>
      <c r="X59" s="11">
        <f t="shared" si="24"/>
        <v>-4.9965094245537172</v>
      </c>
      <c r="Y59" s="11">
        <f t="shared" si="25"/>
        <v>-1.0020000000000024</v>
      </c>
      <c r="Z59" s="11">
        <v>7.7845000000000004</v>
      </c>
      <c r="AA59" s="11">
        <v>9.3940000000000001</v>
      </c>
      <c r="AB59" s="11">
        <f t="shared" si="26"/>
        <v>20.675701714946364</v>
      </c>
      <c r="AC59" s="11">
        <f t="shared" si="27"/>
        <v>1.6094999999999997</v>
      </c>
    </row>
    <row r="60" spans="1:29" ht="18.5" customHeight="1" x14ac:dyDescent="0.35">
      <c r="A60" s="25"/>
      <c r="B60" s="21" t="s">
        <v>39</v>
      </c>
      <c r="C60" s="10" t="s">
        <v>40</v>
      </c>
      <c r="D60" s="10" t="s">
        <v>81</v>
      </c>
      <c r="E60" s="10" t="s">
        <v>85</v>
      </c>
      <c r="F60" s="11">
        <v>22.3385</v>
      </c>
      <c r="G60" s="11">
        <v>26.169</v>
      </c>
      <c r="H60" s="11">
        <f t="shared" si="16"/>
        <v>17.147525572442198</v>
      </c>
      <c r="I60" s="11">
        <f t="shared" si="17"/>
        <v>3.8305000000000007</v>
      </c>
      <c r="J60" s="11">
        <v>53006</v>
      </c>
      <c r="K60" s="11">
        <v>45707</v>
      </c>
      <c r="L60" s="11">
        <f t="shared" si="18"/>
        <v>-13.770139229521186</v>
      </c>
      <c r="M60" s="11">
        <f t="shared" si="19"/>
        <v>-7299</v>
      </c>
      <c r="N60" s="11">
        <v>5.5305</v>
      </c>
      <c r="O60" s="11">
        <v>8.3550000000000004</v>
      </c>
      <c r="P60" s="11">
        <f t="shared" si="20"/>
        <v>51.071331705994041</v>
      </c>
      <c r="Q60" s="11">
        <f t="shared" si="21"/>
        <v>2.8245000000000005</v>
      </c>
      <c r="R60" s="11">
        <v>55578.5</v>
      </c>
      <c r="S60" s="11">
        <v>51739</v>
      </c>
      <c r="T60" s="11">
        <f t="shared" si="22"/>
        <v>-6.9082468940327644</v>
      </c>
      <c r="U60" s="11">
        <f t="shared" si="23"/>
        <v>-3839.5</v>
      </c>
      <c r="V60" s="11" t="s">
        <v>75</v>
      </c>
      <c r="W60" s="11" t="s">
        <v>75</v>
      </c>
      <c r="X60" s="11" t="s">
        <v>75</v>
      </c>
      <c r="Y60" s="11" t="s">
        <v>75</v>
      </c>
      <c r="Z60" s="11" t="s">
        <v>75</v>
      </c>
      <c r="AA60" s="11" t="s">
        <v>75</v>
      </c>
      <c r="AB60" s="11" t="s">
        <v>75</v>
      </c>
      <c r="AC60" s="11" t="s">
        <v>75</v>
      </c>
    </row>
    <row r="61" spans="1:29" ht="18.5" customHeight="1" x14ac:dyDescent="0.35">
      <c r="A61" s="25"/>
      <c r="B61" s="21" t="s">
        <v>41</v>
      </c>
      <c r="C61" s="10" t="s">
        <v>42</v>
      </c>
      <c r="D61" s="10" t="s">
        <v>82</v>
      </c>
      <c r="E61" s="10" t="s">
        <v>85</v>
      </c>
      <c r="F61" s="11">
        <v>20.45</v>
      </c>
      <c r="G61" s="11">
        <v>19.672000000000001</v>
      </c>
      <c r="H61" s="11">
        <f t="shared" si="16"/>
        <v>-3.8044009779951038</v>
      </c>
      <c r="I61" s="11">
        <f t="shared" si="17"/>
        <v>-0.77799999999999869</v>
      </c>
      <c r="J61" s="11">
        <v>67968.5</v>
      </c>
      <c r="K61" s="11">
        <v>66345</v>
      </c>
      <c r="L61" s="11">
        <f t="shared" si="18"/>
        <v>-2.3886064868284573</v>
      </c>
      <c r="M61" s="11">
        <f t="shared" si="19"/>
        <v>-1623.5</v>
      </c>
      <c r="N61" s="11">
        <v>5.2190000000000003</v>
      </c>
      <c r="O61" s="11">
        <v>7.8230000000000004</v>
      </c>
      <c r="P61" s="11">
        <f t="shared" si="20"/>
        <v>49.89461582678674</v>
      </c>
      <c r="Q61" s="11">
        <f t="shared" si="21"/>
        <v>2.6040000000000001</v>
      </c>
      <c r="R61" s="11">
        <v>66614</v>
      </c>
      <c r="S61" s="11">
        <v>73613</v>
      </c>
      <c r="T61" s="11">
        <f t="shared" si="22"/>
        <v>10.506800372294112</v>
      </c>
      <c r="U61" s="11">
        <f t="shared" si="23"/>
        <v>6999</v>
      </c>
      <c r="V61" s="11" t="s">
        <v>75</v>
      </c>
      <c r="W61" s="11" t="s">
        <v>75</v>
      </c>
      <c r="X61" s="11" t="s">
        <v>75</v>
      </c>
      <c r="Y61" s="11" t="s">
        <v>75</v>
      </c>
      <c r="Z61" s="11" t="s">
        <v>75</v>
      </c>
      <c r="AA61" s="11" t="s">
        <v>75</v>
      </c>
      <c r="AB61" s="11" t="s">
        <v>75</v>
      </c>
      <c r="AC61" s="11" t="s">
        <v>75</v>
      </c>
    </row>
    <row r="62" spans="1:29" ht="18.5" customHeight="1" x14ac:dyDescent="0.35">
      <c r="A62" s="25"/>
      <c r="B62" s="21" t="s">
        <v>43</v>
      </c>
      <c r="C62" s="10" t="s">
        <v>44</v>
      </c>
      <c r="D62" s="10" t="s">
        <v>82</v>
      </c>
      <c r="E62" s="10" t="s">
        <v>84</v>
      </c>
      <c r="F62" s="11">
        <v>21.994</v>
      </c>
      <c r="G62" s="11">
        <v>22.937000000000001</v>
      </c>
      <c r="H62" s="11">
        <f t="shared" si="16"/>
        <v>4.2875329635355159</v>
      </c>
      <c r="I62" s="11">
        <f t="shared" si="17"/>
        <v>0.94300000000000139</v>
      </c>
      <c r="J62" s="11">
        <v>67312</v>
      </c>
      <c r="K62" s="11">
        <v>67509</v>
      </c>
      <c r="L62" s="11">
        <f t="shared" si="18"/>
        <v>0.29266698359876397</v>
      </c>
      <c r="M62" s="11">
        <f t="shared" si="19"/>
        <v>197</v>
      </c>
      <c r="N62" s="11">
        <v>4.2024999999999997</v>
      </c>
      <c r="O62" s="11">
        <v>6.694</v>
      </c>
      <c r="P62" s="11">
        <f t="shared" si="20"/>
        <v>59.286139202855459</v>
      </c>
      <c r="Q62" s="11">
        <f t="shared" si="21"/>
        <v>2.4915000000000003</v>
      </c>
      <c r="R62" s="11">
        <v>54687</v>
      </c>
      <c r="S62" s="11">
        <v>54893</v>
      </c>
      <c r="T62" s="11">
        <f t="shared" si="22"/>
        <v>0.3766891583008759</v>
      </c>
      <c r="U62" s="11">
        <f t="shared" si="23"/>
        <v>206</v>
      </c>
      <c r="V62" s="11">
        <v>14.347000000000001</v>
      </c>
      <c r="W62" s="11">
        <v>25.122</v>
      </c>
      <c r="X62" s="11">
        <f t="shared" si="24"/>
        <v>75.102808949606171</v>
      </c>
      <c r="Y62" s="11">
        <f t="shared" si="25"/>
        <v>10.774999999999999</v>
      </c>
      <c r="Z62" s="11">
        <v>9.4774999999999991</v>
      </c>
      <c r="AA62" s="11">
        <v>8.6039999999999992</v>
      </c>
      <c r="AB62" s="11">
        <f t="shared" si="26"/>
        <v>-9.2165655499868109</v>
      </c>
      <c r="AC62" s="11">
        <f t="shared" si="27"/>
        <v>-0.87349999999999994</v>
      </c>
    </row>
    <row r="63" spans="1:29" ht="18.5" customHeight="1" x14ac:dyDescent="0.35">
      <c r="A63" s="25"/>
      <c r="B63" s="21" t="s">
        <v>45</v>
      </c>
      <c r="C63" s="10" t="s">
        <v>46</v>
      </c>
      <c r="D63" s="10" t="s">
        <v>81</v>
      </c>
      <c r="E63" s="10" t="s">
        <v>85</v>
      </c>
      <c r="F63" s="11">
        <v>28.042999999999999</v>
      </c>
      <c r="G63" s="11">
        <v>28.739000000000001</v>
      </c>
      <c r="H63" s="11">
        <f t="shared" si="16"/>
        <v>2.4819027921406467</v>
      </c>
      <c r="I63" s="11">
        <f t="shared" si="17"/>
        <v>0.69600000000000151</v>
      </c>
      <c r="J63" s="11">
        <v>47637.5</v>
      </c>
      <c r="K63" s="11">
        <v>49998</v>
      </c>
      <c r="L63" s="11">
        <f t="shared" si="18"/>
        <v>4.9551298871687219</v>
      </c>
      <c r="M63" s="11">
        <f t="shared" si="19"/>
        <v>2360.5</v>
      </c>
      <c r="N63" s="11">
        <v>9.8759999999999994</v>
      </c>
      <c r="O63" s="11">
        <v>11.694000000000001</v>
      </c>
      <c r="P63" s="11">
        <f t="shared" si="20"/>
        <v>18.408262454435011</v>
      </c>
      <c r="Q63" s="11">
        <f t="shared" si="21"/>
        <v>1.8180000000000014</v>
      </c>
      <c r="R63" s="11">
        <v>47546</v>
      </c>
      <c r="S63" s="11">
        <v>51794</v>
      </c>
      <c r="T63" s="11">
        <f t="shared" si="22"/>
        <v>8.9345055314852981</v>
      </c>
      <c r="U63" s="11">
        <f t="shared" si="23"/>
        <v>4248</v>
      </c>
      <c r="V63" s="11" t="s">
        <v>75</v>
      </c>
      <c r="W63" s="11" t="s">
        <v>75</v>
      </c>
      <c r="X63" s="11" t="s">
        <v>75</v>
      </c>
      <c r="Y63" s="11" t="s">
        <v>75</v>
      </c>
      <c r="Z63" s="11" t="s">
        <v>75</v>
      </c>
      <c r="AA63" s="11" t="s">
        <v>75</v>
      </c>
      <c r="AB63" s="11" t="s">
        <v>75</v>
      </c>
      <c r="AC63" s="11" t="s">
        <v>75</v>
      </c>
    </row>
    <row r="64" spans="1:29" ht="18.5" customHeight="1" x14ac:dyDescent="0.35">
      <c r="A64" s="25"/>
      <c r="B64" s="21" t="s">
        <v>47</v>
      </c>
      <c r="C64" s="10" t="s">
        <v>48</v>
      </c>
      <c r="D64" s="10" t="s">
        <v>82</v>
      </c>
      <c r="E64" s="10" t="s">
        <v>84</v>
      </c>
      <c r="F64" s="11">
        <v>23.7685</v>
      </c>
      <c r="G64" s="11">
        <v>24.268000000000001</v>
      </c>
      <c r="H64" s="11">
        <f t="shared" si="16"/>
        <v>2.1015209205461058</v>
      </c>
      <c r="I64" s="11">
        <f t="shared" si="17"/>
        <v>0.49950000000000117</v>
      </c>
      <c r="J64" s="11">
        <v>75701.5</v>
      </c>
      <c r="K64" s="11">
        <v>61494</v>
      </c>
      <c r="L64" s="11">
        <f t="shared" si="18"/>
        <v>-18.767791919578872</v>
      </c>
      <c r="M64" s="11">
        <f t="shared" si="19"/>
        <v>-14207.5</v>
      </c>
      <c r="N64" s="11">
        <v>6.016</v>
      </c>
      <c r="O64" s="11">
        <v>6.3490000000000002</v>
      </c>
      <c r="P64" s="11">
        <f t="shared" si="20"/>
        <v>5.5352393617021312</v>
      </c>
      <c r="Q64" s="11">
        <f t="shared" si="21"/>
        <v>0.33300000000000018</v>
      </c>
      <c r="R64" s="11">
        <v>67591</v>
      </c>
      <c r="S64" s="11">
        <v>63755</v>
      </c>
      <c r="T64" s="11">
        <f t="shared" si="22"/>
        <v>-5.6753118018671129</v>
      </c>
      <c r="U64" s="11">
        <f t="shared" si="23"/>
        <v>-3836</v>
      </c>
      <c r="V64" s="11">
        <v>14.4085</v>
      </c>
      <c r="W64" s="11">
        <v>16.888000000000002</v>
      </c>
      <c r="X64" s="11">
        <f t="shared" si="24"/>
        <v>17.20859215046675</v>
      </c>
      <c r="Y64" s="11">
        <f t="shared" si="25"/>
        <v>2.4795000000000016</v>
      </c>
      <c r="Z64" s="11">
        <v>9.875</v>
      </c>
      <c r="AA64" s="11">
        <v>9.6140000000000008</v>
      </c>
      <c r="AB64" s="11">
        <f t="shared" si="26"/>
        <v>-2.6430379746835366</v>
      </c>
      <c r="AC64" s="11">
        <f t="shared" si="27"/>
        <v>-0.26099999999999923</v>
      </c>
    </row>
    <row r="65" spans="1:29" ht="18.5" customHeight="1" x14ac:dyDescent="0.35">
      <c r="A65" s="25"/>
      <c r="B65" s="21" t="s">
        <v>49</v>
      </c>
      <c r="C65" s="10" t="s">
        <v>50</v>
      </c>
      <c r="D65" s="10" t="s">
        <v>81</v>
      </c>
      <c r="E65" s="10" t="s">
        <v>85</v>
      </c>
      <c r="F65" s="11">
        <v>13.64</v>
      </c>
      <c r="G65" s="11">
        <v>17.57</v>
      </c>
      <c r="H65" s="11">
        <f t="shared" si="16"/>
        <v>28.812316715542519</v>
      </c>
      <c r="I65" s="11">
        <f t="shared" si="17"/>
        <v>3.9299999999999997</v>
      </c>
      <c r="J65" s="11">
        <v>62479.5</v>
      </c>
      <c r="K65" s="11">
        <v>51266</v>
      </c>
      <c r="L65" s="11">
        <f t="shared" si="18"/>
        <v>-17.947486775662416</v>
      </c>
      <c r="M65" s="11">
        <f t="shared" si="19"/>
        <v>-11213.5</v>
      </c>
      <c r="N65" s="11">
        <v>3.431</v>
      </c>
      <c r="O65" s="11">
        <v>5.9989999999999997</v>
      </c>
      <c r="P65" s="11">
        <f t="shared" si="20"/>
        <v>74.84698338676769</v>
      </c>
      <c r="Q65" s="11">
        <f t="shared" si="21"/>
        <v>2.5679999999999996</v>
      </c>
      <c r="R65" s="11">
        <v>68345</v>
      </c>
      <c r="S65" s="11">
        <v>59342</v>
      </c>
      <c r="T65" s="11">
        <f t="shared" si="22"/>
        <v>-13.172872924134904</v>
      </c>
      <c r="U65" s="11">
        <f t="shared" si="23"/>
        <v>-9003</v>
      </c>
      <c r="V65" s="11">
        <v>15.228000000000002</v>
      </c>
      <c r="W65" s="11">
        <v>14.455</v>
      </c>
      <c r="X65" s="11">
        <f t="shared" si="24"/>
        <v>-5.0761754662463971</v>
      </c>
      <c r="Y65" s="11">
        <f t="shared" si="25"/>
        <v>-0.77300000000000146</v>
      </c>
      <c r="Z65" s="11">
        <v>7.8964999999999996</v>
      </c>
      <c r="AA65" s="11">
        <v>10.228999999999999</v>
      </c>
      <c r="AB65" s="11">
        <f t="shared" si="26"/>
        <v>29.538403089976565</v>
      </c>
      <c r="AC65" s="11">
        <f t="shared" si="27"/>
        <v>2.3324999999999996</v>
      </c>
    </row>
    <row r="66" spans="1:29" ht="18.5" customHeight="1" x14ac:dyDescent="0.35">
      <c r="A66" s="25"/>
      <c r="B66" s="21" t="s">
        <v>51</v>
      </c>
      <c r="C66" s="10" t="s">
        <v>52</v>
      </c>
      <c r="D66" s="10" t="s">
        <v>81</v>
      </c>
      <c r="E66" s="10" t="s">
        <v>85</v>
      </c>
      <c r="F66" s="11">
        <v>29.717500000000001</v>
      </c>
      <c r="G66" s="11">
        <v>30.48</v>
      </c>
      <c r="H66" s="11">
        <f t="shared" si="16"/>
        <v>2.5658282156978185</v>
      </c>
      <c r="I66" s="11">
        <f t="shared" si="17"/>
        <v>0.76249999999999929</v>
      </c>
      <c r="J66" s="11">
        <v>69613.5</v>
      </c>
      <c r="K66" s="11">
        <v>65561</v>
      </c>
      <c r="L66" s="11">
        <f t="shared" si="18"/>
        <v>-5.8214283149101824</v>
      </c>
      <c r="M66" s="11">
        <f t="shared" si="19"/>
        <v>-4052.5</v>
      </c>
      <c r="N66" s="11">
        <v>7.9405000000000001</v>
      </c>
      <c r="O66" s="11">
        <v>9.0220000000000002</v>
      </c>
      <c r="P66" s="11">
        <f t="shared" si="20"/>
        <v>13.620049115295007</v>
      </c>
      <c r="Q66" s="11">
        <f t="shared" si="21"/>
        <v>1.0815000000000001</v>
      </c>
      <c r="R66" s="11">
        <v>81803.5</v>
      </c>
      <c r="S66" s="11">
        <v>73455</v>
      </c>
      <c r="T66" s="11">
        <f t="shared" si="22"/>
        <v>-10.205553552109627</v>
      </c>
      <c r="U66" s="11">
        <f t="shared" si="23"/>
        <v>-8348.5</v>
      </c>
      <c r="V66" s="11">
        <v>17.66</v>
      </c>
      <c r="W66" s="11">
        <v>18.895</v>
      </c>
      <c r="X66" s="11">
        <f t="shared" si="24"/>
        <v>6.993204983012455</v>
      </c>
      <c r="Y66" s="11">
        <f t="shared" si="25"/>
        <v>1.2349999999999994</v>
      </c>
      <c r="Z66" s="11">
        <v>10.289</v>
      </c>
      <c r="AA66" s="11">
        <v>10.622999999999999</v>
      </c>
      <c r="AB66" s="11">
        <f t="shared" si="26"/>
        <v>3.2461852463796252</v>
      </c>
      <c r="AC66" s="11">
        <f t="shared" si="27"/>
        <v>0.33399999999999963</v>
      </c>
    </row>
    <row r="67" spans="1:29" ht="18.5" customHeight="1" x14ac:dyDescent="0.35">
      <c r="A67" s="25"/>
      <c r="B67" s="21" t="s">
        <v>53</v>
      </c>
      <c r="C67" s="10" t="s">
        <v>54</v>
      </c>
      <c r="D67" s="10" t="s">
        <v>81</v>
      </c>
      <c r="E67" s="10" t="s">
        <v>84</v>
      </c>
      <c r="F67" s="11">
        <v>16.5745</v>
      </c>
      <c r="G67" s="11">
        <v>18.734000000000002</v>
      </c>
      <c r="H67" s="11">
        <f t="shared" si="16"/>
        <v>13.029050650095034</v>
      </c>
      <c r="I67" s="11">
        <f t="shared" si="17"/>
        <v>2.1595000000000013</v>
      </c>
      <c r="J67" s="11">
        <v>59774.5</v>
      </c>
      <c r="K67" s="11">
        <v>52521</v>
      </c>
      <c r="L67" s="11">
        <f t="shared" si="18"/>
        <v>-12.134773189236213</v>
      </c>
      <c r="M67" s="11">
        <f t="shared" si="19"/>
        <v>-7253.5</v>
      </c>
      <c r="N67" s="11">
        <v>4.4909999999999997</v>
      </c>
      <c r="O67" s="11">
        <v>6.891</v>
      </c>
      <c r="P67" s="11">
        <f t="shared" si="20"/>
        <v>53.440213760855059</v>
      </c>
      <c r="Q67" s="11">
        <f t="shared" si="21"/>
        <v>2.4000000000000004</v>
      </c>
      <c r="R67" s="11">
        <v>65316.5</v>
      </c>
      <c r="S67" s="11">
        <v>58274</v>
      </c>
      <c r="T67" s="11">
        <f t="shared" si="22"/>
        <v>-10.782114779573309</v>
      </c>
      <c r="U67" s="11">
        <f t="shared" si="23"/>
        <v>-7042.5</v>
      </c>
      <c r="V67" s="11">
        <v>10.818000000000001</v>
      </c>
      <c r="W67" s="11">
        <v>14.573</v>
      </c>
      <c r="X67" s="11">
        <f t="shared" si="24"/>
        <v>34.710667406174878</v>
      </c>
      <c r="Y67" s="11">
        <f t="shared" si="25"/>
        <v>3.754999999999999</v>
      </c>
      <c r="Z67" s="11">
        <v>11.635</v>
      </c>
      <c r="AA67" s="11">
        <v>7.1989999999999998</v>
      </c>
      <c r="AB67" s="11">
        <f t="shared" si="26"/>
        <v>-38.126342930812207</v>
      </c>
      <c r="AC67" s="11">
        <f t="shared" si="27"/>
        <v>-4.4359999999999999</v>
      </c>
    </row>
    <row r="68" spans="1:29" ht="18.5" customHeight="1" x14ac:dyDescent="0.35">
      <c r="A68" s="25"/>
      <c r="B68" s="21" t="s">
        <v>55</v>
      </c>
      <c r="C68" s="10" t="s">
        <v>56</v>
      </c>
      <c r="D68" s="10" t="s">
        <v>82</v>
      </c>
      <c r="E68" s="10" t="s">
        <v>84</v>
      </c>
      <c r="F68" s="11">
        <v>14.189</v>
      </c>
      <c r="G68" s="11">
        <v>16.541</v>
      </c>
      <c r="H68" s="11">
        <f t="shared" si="16"/>
        <v>16.576221016280218</v>
      </c>
      <c r="I68" s="11">
        <f t="shared" si="17"/>
        <v>2.3520000000000003</v>
      </c>
      <c r="J68" s="11">
        <v>81698</v>
      </c>
      <c r="K68" s="11">
        <v>86671</v>
      </c>
      <c r="L68" s="11">
        <f t="shared" si="18"/>
        <v>6.0870523146221451</v>
      </c>
      <c r="M68" s="11">
        <f t="shared" si="19"/>
        <v>4973</v>
      </c>
      <c r="N68" s="11">
        <v>3.9415</v>
      </c>
      <c r="O68" s="11">
        <v>5.8209999999999997</v>
      </c>
      <c r="P68" s="11">
        <f t="shared" si="20"/>
        <v>47.684891538754279</v>
      </c>
      <c r="Q68" s="11">
        <f t="shared" si="21"/>
        <v>1.8794999999999997</v>
      </c>
      <c r="R68" s="11">
        <v>87736.5</v>
      </c>
      <c r="S68" s="11">
        <v>83432</v>
      </c>
      <c r="T68" s="11">
        <f t="shared" si="22"/>
        <v>-4.906167900474717</v>
      </c>
      <c r="U68" s="11">
        <f t="shared" si="23"/>
        <v>-4304.5</v>
      </c>
      <c r="V68" s="11" t="s">
        <v>75</v>
      </c>
      <c r="W68" s="11" t="s">
        <v>75</v>
      </c>
      <c r="X68" s="11" t="s">
        <v>75</v>
      </c>
      <c r="Y68" s="11" t="s">
        <v>75</v>
      </c>
      <c r="Z68" s="11" t="s">
        <v>75</v>
      </c>
      <c r="AA68" s="11" t="s">
        <v>75</v>
      </c>
      <c r="AB68" s="11" t="s">
        <v>75</v>
      </c>
      <c r="AC68" s="11" t="s">
        <v>75</v>
      </c>
    </row>
    <row r="69" spans="1:29" ht="18.5" customHeight="1" x14ac:dyDescent="0.35">
      <c r="A69" s="25"/>
      <c r="B69" s="21" t="s">
        <v>57</v>
      </c>
      <c r="C69" s="10" t="s">
        <v>58</v>
      </c>
      <c r="D69" s="10" t="s">
        <v>82</v>
      </c>
      <c r="E69" s="10" t="s">
        <v>85</v>
      </c>
      <c r="F69" s="11">
        <v>34.131</v>
      </c>
      <c r="G69" s="11">
        <v>35.085999999999999</v>
      </c>
      <c r="H69" s="11">
        <f t="shared" si="16"/>
        <v>2.798042834959416</v>
      </c>
      <c r="I69" s="11">
        <f t="shared" si="17"/>
        <v>0.95499999999999829</v>
      </c>
      <c r="J69" s="11">
        <v>48272</v>
      </c>
      <c r="K69" s="11">
        <v>42407</v>
      </c>
      <c r="L69" s="11">
        <f t="shared" si="18"/>
        <v>-12.149900563473649</v>
      </c>
      <c r="M69" s="11">
        <f t="shared" si="19"/>
        <v>-5865</v>
      </c>
      <c r="N69" s="11">
        <v>10.073499999999999</v>
      </c>
      <c r="O69" s="11">
        <v>9.5869999999999997</v>
      </c>
      <c r="P69" s="11">
        <f t="shared" si="20"/>
        <v>-4.8295031518340155</v>
      </c>
      <c r="Q69" s="11">
        <f t="shared" si="21"/>
        <v>-0.48649999999999949</v>
      </c>
      <c r="R69" s="11">
        <v>56060.5</v>
      </c>
      <c r="S69" s="11">
        <v>45701</v>
      </c>
      <c r="T69" s="11">
        <f t="shared" si="22"/>
        <v>-18.479143068649048</v>
      </c>
      <c r="U69" s="11">
        <f t="shared" si="23"/>
        <v>-10359.5</v>
      </c>
      <c r="V69" s="11">
        <v>26.423999999999999</v>
      </c>
      <c r="W69" s="11">
        <v>30.434000000000001</v>
      </c>
      <c r="X69" s="11">
        <f t="shared" si="24"/>
        <v>15.175597941265522</v>
      </c>
      <c r="Y69" s="11">
        <f t="shared" si="25"/>
        <v>4.0100000000000016</v>
      </c>
      <c r="Z69" s="11">
        <v>6.516</v>
      </c>
      <c r="AA69" s="11">
        <v>6.2069999999999999</v>
      </c>
      <c r="AB69" s="11">
        <f t="shared" si="26"/>
        <v>-4.7421731123388611</v>
      </c>
      <c r="AC69" s="11">
        <f t="shared" si="27"/>
        <v>-0.30900000000000016</v>
      </c>
    </row>
    <row r="70" spans="1:29" ht="18.5" customHeight="1" x14ac:dyDescent="0.35">
      <c r="A70" s="25"/>
      <c r="B70" s="21" t="s">
        <v>59</v>
      </c>
      <c r="C70" s="10" t="s">
        <v>60</v>
      </c>
      <c r="D70" s="10" t="s">
        <v>82</v>
      </c>
      <c r="E70" s="10" t="s">
        <v>85</v>
      </c>
      <c r="F70" s="11">
        <v>15.7995</v>
      </c>
      <c r="G70" s="11">
        <v>16.201000000000001</v>
      </c>
      <c r="H70" s="11">
        <f t="shared" si="16"/>
        <v>2.5412196588499665</v>
      </c>
      <c r="I70" s="11">
        <f t="shared" si="17"/>
        <v>0.40150000000000041</v>
      </c>
      <c r="J70" s="11">
        <v>55780.5</v>
      </c>
      <c r="K70" s="11">
        <v>55341</v>
      </c>
      <c r="L70" s="11">
        <f t="shared" si="18"/>
        <v>-0.78790975340844915</v>
      </c>
      <c r="M70" s="11">
        <f t="shared" si="19"/>
        <v>-439.5</v>
      </c>
      <c r="N70" s="11">
        <v>4.1500000000000004</v>
      </c>
      <c r="O70" s="11">
        <v>4.2279999999999998</v>
      </c>
      <c r="P70" s="11">
        <f t="shared" si="20"/>
        <v>1.8795180722891422</v>
      </c>
      <c r="Q70" s="11">
        <f t="shared" si="21"/>
        <v>7.7999999999999403E-2</v>
      </c>
      <c r="R70" s="11">
        <v>66769</v>
      </c>
      <c r="S70" s="11">
        <v>69389</v>
      </c>
      <c r="T70" s="11">
        <f t="shared" si="22"/>
        <v>3.9239766957719899</v>
      </c>
      <c r="U70" s="11">
        <f t="shared" si="23"/>
        <v>2620</v>
      </c>
      <c r="V70" s="11">
        <v>19.669499999999999</v>
      </c>
      <c r="W70" s="11">
        <v>16.914000000000001</v>
      </c>
      <c r="X70" s="11">
        <f t="shared" si="24"/>
        <v>-14.008998703576591</v>
      </c>
      <c r="Y70" s="11">
        <f t="shared" si="25"/>
        <v>-2.7554999999999978</v>
      </c>
      <c r="Z70" s="11">
        <v>6.5145</v>
      </c>
      <c r="AA70" s="11">
        <v>8.7829999999999995</v>
      </c>
      <c r="AB70" s="11">
        <f t="shared" si="26"/>
        <v>34.822319441246442</v>
      </c>
      <c r="AC70" s="11">
        <f t="shared" si="27"/>
        <v>2.2684999999999995</v>
      </c>
    </row>
    <row r="71" spans="1:29" ht="18.5" customHeight="1" x14ac:dyDescent="0.35">
      <c r="A71" s="25"/>
      <c r="B71" s="21" t="s">
        <v>61</v>
      </c>
      <c r="C71" s="10" t="s">
        <v>62</v>
      </c>
      <c r="D71" s="10" t="s">
        <v>82</v>
      </c>
      <c r="E71" s="10" t="s">
        <v>85</v>
      </c>
      <c r="F71" s="11">
        <v>18.111000000000001</v>
      </c>
      <c r="G71" s="11">
        <v>19.332999999999998</v>
      </c>
      <c r="H71" s="11">
        <f t="shared" si="16"/>
        <v>6.7472806581635343</v>
      </c>
      <c r="I71" s="11">
        <f t="shared" si="17"/>
        <v>1.2219999999999978</v>
      </c>
      <c r="J71" s="11">
        <v>65412</v>
      </c>
      <c r="K71" s="11">
        <v>60145</v>
      </c>
      <c r="L71" s="11">
        <f t="shared" si="18"/>
        <v>-8.0520393811533051</v>
      </c>
      <c r="M71" s="11">
        <f t="shared" si="19"/>
        <v>-5267</v>
      </c>
      <c r="N71" s="11">
        <v>5.68</v>
      </c>
      <c r="O71" s="11">
        <v>6.1509999999999998</v>
      </c>
      <c r="P71" s="11">
        <f t="shared" si="20"/>
        <v>8.2922535211267618</v>
      </c>
      <c r="Q71" s="11">
        <f t="shared" si="21"/>
        <v>0.47100000000000009</v>
      </c>
      <c r="R71" s="11">
        <v>70777.5</v>
      </c>
      <c r="S71" s="11">
        <v>63028</v>
      </c>
      <c r="T71" s="11">
        <f t="shared" si="22"/>
        <v>-10.949101056126594</v>
      </c>
      <c r="U71" s="11">
        <f t="shared" si="23"/>
        <v>-7749.5</v>
      </c>
      <c r="V71" s="11" t="s">
        <v>75</v>
      </c>
      <c r="W71" s="11" t="s">
        <v>75</v>
      </c>
      <c r="X71" s="11" t="s">
        <v>75</v>
      </c>
      <c r="Y71" s="11" t="s">
        <v>75</v>
      </c>
      <c r="Z71" s="11" t="s">
        <v>75</v>
      </c>
      <c r="AA71" s="11" t="s">
        <v>75</v>
      </c>
      <c r="AB71" s="11" t="s">
        <v>75</v>
      </c>
      <c r="AC71" s="11" t="s">
        <v>75</v>
      </c>
    </row>
    <row r="72" spans="1:29" ht="18.5" customHeight="1" x14ac:dyDescent="0.35">
      <c r="A72" s="25"/>
      <c r="B72" s="21" t="s">
        <v>63</v>
      </c>
      <c r="C72" s="10" t="s">
        <v>64</v>
      </c>
      <c r="D72" s="10" t="s">
        <v>82</v>
      </c>
      <c r="E72" s="10" t="s">
        <v>85</v>
      </c>
      <c r="F72" s="11">
        <v>22.475999999999999</v>
      </c>
      <c r="G72" s="11">
        <v>21.896000000000001</v>
      </c>
      <c r="H72" s="11">
        <f t="shared" si="16"/>
        <v>-2.5805303434774798</v>
      </c>
      <c r="I72" s="11">
        <f t="shared" si="17"/>
        <v>-0.57999999999999829</v>
      </c>
      <c r="J72" s="11">
        <v>56433</v>
      </c>
      <c r="K72" s="11">
        <v>48718</v>
      </c>
      <c r="L72" s="11">
        <f t="shared" si="18"/>
        <v>-13.671078978611806</v>
      </c>
      <c r="M72" s="11">
        <f t="shared" si="19"/>
        <v>-7715</v>
      </c>
      <c r="N72" s="11">
        <v>6.4359999999999999</v>
      </c>
      <c r="O72" s="11">
        <v>5.4859999999999998</v>
      </c>
      <c r="P72" s="11">
        <f t="shared" si="20"/>
        <v>-14.760720944686142</v>
      </c>
      <c r="Q72" s="11">
        <f t="shared" si="21"/>
        <v>-0.95000000000000018</v>
      </c>
      <c r="R72" s="11">
        <v>74693.5</v>
      </c>
      <c r="S72" s="11">
        <v>73835</v>
      </c>
      <c r="T72" s="11">
        <f t="shared" si="22"/>
        <v>-1.1493637331226947</v>
      </c>
      <c r="U72" s="11">
        <f t="shared" si="23"/>
        <v>-858.5</v>
      </c>
      <c r="V72" s="11">
        <v>12.565999999999999</v>
      </c>
      <c r="W72" s="11">
        <v>14.548999999999999</v>
      </c>
      <c r="X72" s="11">
        <f t="shared" si="24"/>
        <v>15.78067802005412</v>
      </c>
      <c r="Y72" s="11">
        <f t="shared" si="25"/>
        <v>1.9830000000000005</v>
      </c>
      <c r="Z72" s="11">
        <v>10.660499999999999</v>
      </c>
      <c r="AA72" s="11">
        <v>11.349</v>
      </c>
      <c r="AB72" s="11">
        <f t="shared" si="26"/>
        <v>6.4584212747995053</v>
      </c>
      <c r="AC72" s="11">
        <f t="shared" si="27"/>
        <v>0.68850000000000122</v>
      </c>
    </row>
    <row r="73" spans="1:29" ht="18.5" customHeight="1" x14ac:dyDescent="0.35">
      <c r="A73" s="25"/>
      <c r="B73" s="21" t="s">
        <v>65</v>
      </c>
      <c r="C73" s="10" t="s">
        <v>66</v>
      </c>
      <c r="D73" s="10" t="s">
        <v>81</v>
      </c>
      <c r="E73" s="10" t="s">
        <v>85</v>
      </c>
      <c r="F73" s="11">
        <v>40.612000000000002</v>
      </c>
      <c r="G73" s="11">
        <v>42.792999999999999</v>
      </c>
      <c r="H73" s="11">
        <f t="shared" si="16"/>
        <v>5.3703338914606453</v>
      </c>
      <c r="I73" s="11">
        <f t="shared" si="17"/>
        <v>2.1809999999999974</v>
      </c>
      <c r="J73" s="11">
        <v>52967</v>
      </c>
      <c r="K73" s="11">
        <v>48194</v>
      </c>
      <c r="L73" s="11">
        <f t="shared" si="18"/>
        <v>-9.0112711688409757</v>
      </c>
      <c r="M73" s="11">
        <f t="shared" si="19"/>
        <v>-4773</v>
      </c>
      <c r="N73" s="11">
        <v>11.1145</v>
      </c>
      <c r="O73" s="11">
        <v>13.411</v>
      </c>
      <c r="P73" s="11">
        <f t="shared" si="20"/>
        <v>20.662198029600972</v>
      </c>
      <c r="Q73" s="11">
        <f t="shared" si="21"/>
        <v>2.2965</v>
      </c>
      <c r="R73" s="11">
        <v>77683</v>
      </c>
      <c r="S73" s="11">
        <v>69910</v>
      </c>
      <c r="T73" s="11">
        <f t="shared" si="22"/>
        <v>-10.006050229780003</v>
      </c>
      <c r="U73" s="11">
        <f t="shared" si="23"/>
        <v>-7773</v>
      </c>
      <c r="V73" s="11">
        <v>36.911000000000001</v>
      </c>
      <c r="W73" s="11">
        <v>28.492999999999999</v>
      </c>
      <c r="X73" s="11">
        <f t="shared" si="24"/>
        <v>-22.806209531034117</v>
      </c>
      <c r="Y73" s="11">
        <f t="shared" si="25"/>
        <v>-8.4180000000000028</v>
      </c>
      <c r="Z73" s="11">
        <v>6.4080000000000004</v>
      </c>
      <c r="AA73" s="11">
        <v>7.7130000000000001</v>
      </c>
      <c r="AB73" s="11">
        <f t="shared" si="26"/>
        <v>20.365168539325836</v>
      </c>
      <c r="AC73" s="11">
        <f t="shared" si="27"/>
        <v>1.3049999999999997</v>
      </c>
    </row>
    <row r="74" spans="1:29" ht="18.5" customHeight="1" x14ac:dyDescent="0.35">
      <c r="A74" s="25"/>
      <c r="B74" s="21" t="s">
        <v>67</v>
      </c>
      <c r="C74" s="10" t="s">
        <v>68</v>
      </c>
      <c r="D74" s="10" t="s">
        <v>82</v>
      </c>
      <c r="E74" s="10" t="s">
        <v>85</v>
      </c>
      <c r="F74" s="11">
        <v>21.111499999999999</v>
      </c>
      <c r="G74" s="11">
        <v>23.788</v>
      </c>
      <c r="H74" s="11">
        <f t="shared" si="16"/>
        <v>12.677924354025061</v>
      </c>
      <c r="I74" s="11">
        <f t="shared" si="17"/>
        <v>2.6765000000000008</v>
      </c>
      <c r="J74" s="11">
        <v>57190</v>
      </c>
      <c r="K74" s="11">
        <v>61070</v>
      </c>
      <c r="L74" s="11">
        <f t="shared" si="18"/>
        <v>6.7844028676342027</v>
      </c>
      <c r="M74" s="11">
        <f t="shared" si="19"/>
        <v>3880</v>
      </c>
      <c r="N74" s="11">
        <v>4.875</v>
      </c>
      <c r="O74" s="11">
        <v>5.5549999999999997</v>
      </c>
      <c r="P74" s="11">
        <f t="shared" si="20"/>
        <v>13.948717948717942</v>
      </c>
      <c r="Q74" s="11">
        <f t="shared" si="21"/>
        <v>0.67999999999999972</v>
      </c>
      <c r="R74" s="11">
        <v>55187</v>
      </c>
      <c r="S74" s="11">
        <v>60448</v>
      </c>
      <c r="T74" s="11">
        <f t="shared" si="22"/>
        <v>9.533042201967854</v>
      </c>
      <c r="U74" s="11">
        <f t="shared" si="23"/>
        <v>5261</v>
      </c>
      <c r="V74" s="11">
        <v>16.795000000000002</v>
      </c>
      <c r="W74" s="11">
        <v>14.845000000000001</v>
      </c>
      <c r="X74" s="11">
        <f t="shared" si="24"/>
        <v>-11.610598392378689</v>
      </c>
      <c r="Y74" s="11">
        <f t="shared" si="25"/>
        <v>-1.9500000000000011</v>
      </c>
      <c r="Z74" s="11">
        <v>10.042999999999999</v>
      </c>
      <c r="AA74" s="11">
        <v>11.426</v>
      </c>
      <c r="AB74" s="11">
        <f t="shared" si="26"/>
        <v>13.770785621826157</v>
      </c>
      <c r="AC74" s="11">
        <f t="shared" si="27"/>
        <v>1.3830000000000009</v>
      </c>
    </row>
    <row r="75" spans="1:29" ht="18.5" customHeight="1" x14ac:dyDescent="0.35">
      <c r="A75" s="25"/>
      <c r="B75" s="21" t="s">
        <v>69</v>
      </c>
      <c r="C75" s="10" t="s">
        <v>70</v>
      </c>
      <c r="D75" s="10" t="s">
        <v>82</v>
      </c>
      <c r="E75" s="10" t="s">
        <v>84</v>
      </c>
      <c r="F75" s="11">
        <v>19.329999999999998</v>
      </c>
      <c r="G75" s="11">
        <v>22.42</v>
      </c>
      <c r="H75" s="11">
        <f t="shared" si="16"/>
        <v>15.985514743921383</v>
      </c>
      <c r="I75" s="11">
        <f t="shared" si="17"/>
        <v>3.0900000000000034</v>
      </c>
      <c r="J75" s="11">
        <v>62561</v>
      </c>
      <c r="K75" s="11">
        <v>58294</v>
      </c>
      <c r="L75" s="11">
        <f t="shared" si="18"/>
        <v>-6.8205431498857116</v>
      </c>
      <c r="M75" s="11">
        <f t="shared" si="19"/>
        <v>-4267</v>
      </c>
      <c r="N75" s="11">
        <v>4.3120000000000003</v>
      </c>
      <c r="O75" s="11">
        <v>6.0110000000000001</v>
      </c>
      <c r="P75" s="11">
        <f t="shared" si="20"/>
        <v>39.401669758812609</v>
      </c>
      <c r="Q75" s="11">
        <f t="shared" si="21"/>
        <v>1.6989999999999998</v>
      </c>
      <c r="R75" s="11">
        <v>81470</v>
      </c>
      <c r="S75" s="11">
        <v>62896</v>
      </c>
      <c r="T75" s="11">
        <f t="shared" si="22"/>
        <v>-22.798576163004789</v>
      </c>
      <c r="U75" s="11">
        <f t="shared" si="23"/>
        <v>-18574</v>
      </c>
      <c r="V75" s="11" t="s">
        <v>75</v>
      </c>
      <c r="W75" s="11" t="s">
        <v>75</v>
      </c>
      <c r="X75" s="11" t="s">
        <v>75</v>
      </c>
      <c r="Y75" s="11" t="s">
        <v>75</v>
      </c>
      <c r="Z75" s="11" t="s">
        <v>75</v>
      </c>
      <c r="AA75" s="11" t="s">
        <v>75</v>
      </c>
      <c r="AB75" s="11" t="s">
        <v>75</v>
      </c>
      <c r="AC75" s="11" t="s">
        <v>75</v>
      </c>
    </row>
    <row r="76" spans="1:29" x14ac:dyDescent="0.35">
      <c r="B76" s="8" t="s">
        <v>78</v>
      </c>
      <c r="C76" s="8"/>
      <c r="D76" s="8"/>
      <c r="E76" s="8"/>
      <c r="F76" s="6">
        <f t="shared" ref="F76:AC76" si="28">AVERAGE(F41:F75)</f>
        <v>22.392703571428569</v>
      </c>
      <c r="G76" s="6">
        <f t="shared" si="28"/>
        <v>24.330028571428578</v>
      </c>
      <c r="H76" s="6">
        <f t="shared" si="28"/>
        <v>9.6314890159949567</v>
      </c>
      <c r="I76" s="6">
        <f t="shared" si="28"/>
        <v>1.9373249999999997</v>
      </c>
      <c r="J76" s="6">
        <f t="shared" ref="J76:M76" si="29">AVERAGE(J41:J75)</f>
        <v>62492.146428571432</v>
      </c>
      <c r="K76" s="6">
        <f t="shared" si="29"/>
        <v>58605.2</v>
      </c>
      <c r="L76" s="6">
        <f t="shared" si="29"/>
        <v>-6.1240227818785673</v>
      </c>
      <c r="M76" s="6">
        <f t="shared" si="29"/>
        <v>-3886.9464285714284</v>
      </c>
      <c r="N76" s="6">
        <f t="shared" ref="N76:Q76" si="30">AVERAGE(N41:N75)</f>
        <v>5.9880107142857151</v>
      </c>
      <c r="O76" s="6">
        <f t="shared" si="30"/>
        <v>7.3657428571428554</v>
      </c>
      <c r="P76" s="6">
        <f t="shared" si="30"/>
        <v>27.259196411560637</v>
      </c>
      <c r="Q76" s="6">
        <f t="shared" si="30"/>
        <v>1.3777321428571432</v>
      </c>
      <c r="R76" s="6">
        <f t="shared" si="28"/>
        <v>68531.360714285707</v>
      </c>
      <c r="S76" s="6">
        <f t="shared" si="28"/>
        <v>64257.828571428574</v>
      </c>
      <c r="T76" s="6">
        <f t="shared" si="28"/>
        <v>-5.5443575176545421</v>
      </c>
      <c r="U76" s="6">
        <f t="shared" si="28"/>
        <v>-4273.5321428571433</v>
      </c>
      <c r="V76" s="6">
        <f t="shared" si="28"/>
        <v>18.240541666666665</v>
      </c>
      <c r="W76" s="6">
        <f t="shared" si="28"/>
        <v>18.554041666666663</v>
      </c>
      <c r="X76" s="6">
        <f t="shared" si="28"/>
        <v>4.6154411125708359</v>
      </c>
      <c r="Y76" s="6">
        <f t="shared" si="28"/>
        <v>0.31349999999999983</v>
      </c>
      <c r="Z76" s="6">
        <f t="shared" si="28"/>
        <v>8.779541666666665</v>
      </c>
      <c r="AA76" s="6">
        <f t="shared" si="28"/>
        <v>9.3976666666666659</v>
      </c>
      <c r="AB76" s="6">
        <f t="shared" si="28"/>
        <v>7.3413900695932606</v>
      </c>
      <c r="AC76" s="6">
        <f t="shared" si="28"/>
        <v>0.61812500000000026</v>
      </c>
    </row>
    <row r="77" spans="1:29" x14ac:dyDescent="0.35">
      <c r="B77" s="4" t="s">
        <v>79</v>
      </c>
      <c r="C77" s="4"/>
      <c r="D77" s="4"/>
      <c r="E77" s="4"/>
      <c r="F77" s="3">
        <f t="shared" ref="F77:AC77" si="31">STDEV(F41:F75)</f>
        <v>6.8313037039817512</v>
      </c>
      <c r="G77" s="3">
        <f t="shared" si="31"/>
        <v>7.014745458824617</v>
      </c>
      <c r="H77" s="3">
        <f t="shared" si="31"/>
        <v>9.3822995119045469</v>
      </c>
      <c r="I77" s="3">
        <f t="shared" si="31"/>
        <v>2.2235875503190385</v>
      </c>
      <c r="J77" s="3">
        <f t="shared" ref="J77:M77" si="32">STDEV(J41:J75)</f>
        <v>9638.6923137336889</v>
      </c>
      <c r="K77" s="3">
        <f t="shared" si="32"/>
        <v>10136.707128056931</v>
      </c>
      <c r="L77" s="3">
        <f t="shared" si="32"/>
        <v>7.5698541517350462</v>
      </c>
      <c r="M77" s="3">
        <f t="shared" si="32"/>
        <v>5053.0881917141069</v>
      </c>
      <c r="N77" s="3">
        <f t="shared" ref="N77:Q77" si="33">STDEV(N41:N75)</f>
        <v>2.2176579135802057</v>
      </c>
      <c r="O77" s="3">
        <f t="shared" si="33"/>
        <v>2.2173566979740666</v>
      </c>
      <c r="P77" s="3">
        <f t="shared" si="33"/>
        <v>23.863540447348161</v>
      </c>
      <c r="Q77" s="3">
        <f t="shared" si="33"/>
        <v>1.154329158116679</v>
      </c>
      <c r="R77" s="3">
        <f t="shared" si="31"/>
        <v>11962.351211148703</v>
      </c>
      <c r="S77" s="3">
        <f t="shared" si="31"/>
        <v>10512.746639719069</v>
      </c>
      <c r="T77" s="3">
        <f t="shared" si="31"/>
        <v>9.7162639373624309</v>
      </c>
      <c r="U77" s="3">
        <f t="shared" si="31"/>
        <v>6815.709280997281</v>
      </c>
      <c r="V77" s="3">
        <f t="shared" si="31"/>
        <v>5.8261335581428968</v>
      </c>
      <c r="W77" s="3">
        <f t="shared" si="31"/>
        <v>5.2188953727040772</v>
      </c>
      <c r="X77" s="3">
        <f t="shared" si="31"/>
        <v>23.172400532114626</v>
      </c>
      <c r="Y77" s="3">
        <f t="shared" si="31"/>
        <v>4.1255553697284997</v>
      </c>
      <c r="Z77" s="3">
        <f t="shared" si="31"/>
        <v>2.0185881253805964</v>
      </c>
      <c r="AA77" s="3">
        <f t="shared" si="31"/>
        <v>2.6700531287120417</v>
      </c>
      <c r="AB77" s="3">
        <f t="shared" si="31"/>
        <v>18.573785091399142</v>
      </c>
      <c r="AC77" s="3">
        <f t="shared" si="31"/>
        <v>1.7659513401760438</v>
      </c>
    </row>
  </sheetData>
  <mergeCells count="8">
    <mergeCell ref="R1:U1"/>
    <mergeCell ref="A41:A75"/>
    <mergeCell ref="A3:A37"/>
    <mergeCell ref="F1:I1"/>
    <mergeCell ref="J1:M1"/>
    <mergeCell ref="N1:Q1"/>
    <mergeCell ref="V1:Y1"/>
    <mergeCell ref="Z1:A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10EC-8C2B-4529-9F93-6522442FD798}">
  <dimension ref="A1:AU77"/>
  <sheetViews>
    <sheetView tabSelected="1" zoomScale="70" zoomScaleNormal="70" workbookViewId="0">
      <selection activeCell="AA21" sqref="AA21"/>
    </sheetView>
  </sheetViews>
  <sheetFormatPr defaultRowHeight="14.5" x14ac:dyDescent="0.35"/>
  <cols>
    <col min="1" max="1" width="14.26953125" style="1" bestFit="1" customWidth="1"/>
    <col min="2" max="2" width="42.81640625" style="1" bestFit="1" customWidth="1"/>
    <col min="3" max="3" width="5" style="1" customWidth="1"/>
    <col min="4" max="4" width="6" style="1" bestFit="1" customWidth="1"/>
    <col min="5" max="5" width="4.36328125" style="1" customWidth="1"/>
    <col min="6" max="6" width="6.54296875" customWidth="1"/>
    <col min="7" max="7" width="9.26953125" customWidth="1"/>
    <col min="8" max="16" width="6.54296875" bestFit="1" customWidth="1"/>
    <col min="17" max="26" width="9.26953125" bestFit="1" customWidth="1"/>
    <col min="27" max="27" width="10.1796875" bestFit="1" customWidth="1"/>
    <col min="28" max="28" width="9.81640625" bestFit="1" customWidth="1"/>
    <col min="29" max="35" width="10.1796875" bestFit="1" customWidth="1"/>
    <col min="36" max="36" width="9.81640625" bestFit="1" customWidth="1"/>
    <col min="37" max="37" width="10.1796875" bestFit="1" customWidth="1"/>
    <col min="38" max="40" width="9.81640625" bestFit="1" customWidth="1"/>
    <col min="41" max="41" width="10.1796875" bestFit="1" customWidth="1"/>
    <col min="42" max="46" width="10.6328125" bestFit="1" customWidth="1"/>
    <col min="47" max="47" width="26.1796875" bestFit="1" customWidth="1"/>
  </cols>
  <sheetData>
    <row r="1" spans="1:47" x14ac:dyDescent="0.35">
      <c r="F1" s="30" t="s">
        <v>94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22" t="s">
        <v>95</v>
      </c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</row>
    <row r="2" spans="1:47" ht="15.5" x14ac:dyDescent="0.35">
      <c r="B2" s="15" t="s">
        <v>76</v>
      </c>
      <c r="C2" s="15" t="s">
        <v>0</v>
      </c>
      <c r="D2" s="15" t="s">
        <v>80</v>
      </c>
      <c r="E2" s="17" t="s">
        <v>83</v>
      </c>
      <c r="F2" s="18" t="s">
        <v>72</v>
      </c>
      <c r="G2" s="18" t="s">
        <v>44</v>
      </c>
      <c r="H2" s="18" t="s">
        <v>36</v>
      </c>
      <c r="I2" s="18" t="s">
        <v>2</v>
      </c>
      <c r="J2" s="18" t="s">
        <v>38</v>
      </c>
      <c r="K2" s="18" t="s">
        <v>28</v>
      </c>
      <c r="L2" s="18" t="s">
        <v>54</v>
      </c>
      <c r="M2" s="18" t="s">
        <v>64</v>
      </c>
      <c r="N2" s="18" t="s">
        <v>30</v>
      </c>
      <c r="O2" s="18" t="s">
        <v>8</v>
      </c>
      <c r="P2" s="18" t="s">
        <v>14</v>
      </c>
      <c r="Q2" s="18" t="s">
        <v>68</v>
      </c>
      <c r="R2" s="18" t="s">
        <v>12</v>
      </c>
      <c r="S2" s="18" t="s">
        <v>62</v>
      </c>
      <c r="T2" s="18" t="s">
        <v>34</v>
      </c>
      <c r="U2" s="18" t="s">
        <v>66</v>
      </c>
      <c r="V2" s="18" t="s">
        <v>46</v>
      </c>
      <c r="W2" s="18" t="s">
        <v>18</v>
      </c>
      <c r="X2" s="18" t="s">
        <v>71</v>
      </c>
      <c r="Y2" s="18" t="s">
        <v>6</v>
      </c>
      <c r="Z2" s="18" t="s">
        <v>96</v>
      </c>
      <c r="AA2" s="19" t="s">
        <v>72</v>
      </c>
      <c r="AB2" s="19" t="s">
        <v>44</v>
      </c>
      <c r="AC2" s="19" t="s">
        <v>36</v>
      </c>
      <c r="AD2" s="19" t="s">
        <v>2</v>
      </c>
      <c r="AE2" s="19" t="s">
        <v>38</v>
      </c>
      <c r="AF2" s="19" t="s">
        <v>28</v>
      </c>
      <c r="AG2" s="19" t="s">
        <v>54</v>
      </c>
      <c r="AH2" s="19" t="s">
        <v>64</v>
      </c>
      <c r="AI2" s="19" t="s">
        <v>30</v>
      </c>
      <c r="AJ2" s="19" t="s">
        <v>8</v>
      </c>
      <c r="AK2" s="19" t="s">
        <v>14</v>
      </c>
      <c r="AL2" s="19" t="s">
        <v>68</v>
      </c>
      <c r="AM2" s="19" t="s">
        <v>12</v>
      </c>
      <c r="AN2" s="19" t="s">
        <v>62</v>
      </c>
      <c r="AO2" s="19" t="s">
        <v>34</v>
      </c>
      <c r="AP2" s="19" t="s">
        <v>66</v>
      </c>
      <c r="AQ2" s="19" t="s">
        <v>46</v>
      </c>
      <c r="AR2" s="19" t="s">
        <v>18</v>
      </c>
      <c r="AS2" s="19" t="s">
        <v>71</v>
      </c>
      <c r="AT2" s="19" t="s">
        <v>6</v>
      </c>
      <c r="AU2" s="19" t="s">
        <v>97</v>
      </c>
    </row>
    <row r="3" spans="1:47" ht="15.5" x14ac:dyDescent="0.35">
      <c r="A3" s="26" t="s">
        <v>86</v>
      </c>
      <c r="B3" s="13" t="s">
        <v>1</v>
      </c>
      <c r="C3" s="7" t="s">
        <v>2</v>
      </c>
      <c r="D3" s="7" t="s">
        <v>81</v>
      </c>
      <c r="E3" s="7" t="s">
        <v>84</v>
      </c>
      <c r="F3" s="7">
        <v>0</v>
      </c>
      <c r="G3" s="7">
        <v>0.25</v>
      </c>
      <c r="H3" s="7">
        <v>0.25</v>
      </c>
      <c r="I3" s="7">
        <v>0.25</v>
      </c>
      <c r="J3" s="7">
        <v>0.875</v>
      </c>
      <c r="K3" s="7">
        <v>0.5</v>
      </c>
      <c r="L3" s="7">
        <v>1.25</v>
      </c>
      <c r="M3" s="7">
        <v>2.75</v>
      </c>
      <c r="N3" s="7">
        <v>3.25</v>
      </c>
      <c r="O3" s="7">
        <v>2</v>
      </c>
      <c r="P3" s="7">
        <v>2</v>
      </c>
      <c r="Q3" s="7">
        <v>1.25</v>
      </c>
      <c r="R3" s="7">
        <v>1.5</v>
      </c>
      <c r="S3" s="7">
        <v>1.75</v>
      </c>
      <c r="T3" s="7">
        <v>2</v>
      </c>
      <c r="U3" s="7">
        <v>2.5</v>
      </c>
      <c r="V3" s="7">
        <v>1.75</v>
      </c>
      <c r="W3" s="7">
        <v>2.5</v>
      </c>
      <c r="X3" s="7">
        <v>1.75</v>
      </c>
      <c r="Y3" s="7">
        <v>3.25</v>
      </c>
      <c r="Z3" s="7">
        <f>AVERAGE(F3:Y3)</f>
        <v>1.58125</v>
      </c>
      <c r="AA3" s="16">
        <v>392</v>
      </c>
      <c r="AB3" s="16">
        <v>483</v>
      </c>
      <c r="AC3" s="16">
        <v>518</v>
      </c>
      <c r="AD3" s="16">
        <v>525</v>
      </c>
      <c r="AE3" s="16">
        <v>525</v>
      </c>
      <c r="AF3" s="16">
        <v>525</v>
      </c>
      <c r="AG3" s="16">
        <v>525</v>
      </c>
      <c r="AH3" s="16">
        <v>525</v>
      </c>
      <c r="AI3" s="16">
        <v>525</v>
      </c>
      <c r="AJ3" s="16">
        <v>525</v>
      </c>
      <c r="AK3" s="16">
        <v>675</v>
      </c>
      <c r="AL3" s="16">
        <v>675</v>
      </c>
      <c r="AM3" s="16">
        <v>675</v>
      </c>
      <c r="AN3" s="16">
        <v>675</v>
      </c>
      <c r="AO3" s="16">
        <v>675</v>
      </c>
      <c r="AP3" s="16">
        <v>675</v>
      </c>
      <c r="AQ3" s="16">
        <v>675</v>
      </c>
      <c r="AR3" s="16">
        <v>675</v>
      </c>
      <c r="AS3" s="16">
        <v>675</v>
      </c>
      <c r="AT3" s="16">
        <v>675</v>
      </c>
      <c r="AU3" s="16">
        <f>SUM(AA3:AT3)</f>
        <v>11818</v>
      </c>
    </row>
    <row r="4" spans="1:47" ht="15.5" x14ac:dyDescent="0.35">
      <c r="A4" s="27"/>
      <c r="B4" s="13" t="s">
        <v>3</v>
      </c>
      <c r="C4" s="7" t="s">
        <v>4</v>
      </c>
      <c r="D4" s="7" t="s">
        <v>82</v>
      </c>
      <c r="E4" s="7" t="s">
        <v>84</v>
      </c>
      <c r="F4" s="7">
        <v>1.5</v>
      </c>
      <c r="G4" s="7">
        <v>0.25</v>
      </c>
      <c r="H4" s="7">
        <v>5</v>
      </c>
      <c r="I4" s="7">
        <v>1.75</v>
      </c>
      <c r="J4" s="7">
        <v>5</v>
      </c>
      <c r="K4" s="7">
        <v>4.5</v>
      </c>
      <c r="L4" s="7">
        <v>3</v>
      </c>
      <c r="M4" s="7">
        <v>3.5</v>
      </c>
      <c r="N4" s="7">
        <v>3.75</v>
      </c>
      <c r="O4" s="7">
        <v>5</v>
      </c>
      <c r="P4" s="7">
        <v>2.75</v>
      </c>
      <c r="Q4" s="7">
        <v>3.25</v>
      </c>
      <c r="R4" s="7">
        <v>3.25</v>
      </c>
      <c r="S4" s="7">
        <v>2.5</v>
      </c>
      <c r="T4" s="7">
        <v>3.5</v>
      </c>
      <c r="U4" s="7">
        <v>5.25</v>
      </c>
      <c r="V4" s="7">
        <v>5.75</v>
      </c>
      <c r="W4" s="7">
        <v>5.5</v>
      </c>
      <c r="X4" s="7">
        <v>3.25</v>
      </c>
      <c r="Y4" s="7">
        <v>2.75</v>
      </c>
      <c r="Z4" s="7">
        <f t="shared" ref="Z4:Z37" si="0">AVERAGE(F4:Y4)</f>
        <v>3.55</v>
      </c>
      <c r="AA4" s="16">
        <v>900</v>
      </c>
      <c r="AB4" s="16">
        <v>900</v>
      </c>
      <c r="AC4" s="16">
        <v>900</v>
      </c>
      <c r="AD4" s="16">
        <v>900</v>
      </c>
      <c r="AE4" s="16">
        <v>900</v>
      </c>
      <c r="AF4" s="16">
        <v>900</v>
      </c>
      <c r="AG4" s="16">
        <v>900</v>
      </c>
      <c r="AH4" s="16">
        <v>900</v>
      </c>
      <c r="AI4" s="16">
        <v>900</v>
      </c>
      <c r="AJ4" s="16">
        <v>900</v>
      </c>
      <c r="AK4" s="16">
        <v>900</v>
      </c>
      <c r="AL4" s="16">
        <v>900</v>
      </c>
      <c r="AM4" s="16">
        <v>900</v>
      </c>
      <c r="AN4" s="16">
        <v>900</v>
      </c>
      <c r="AO4" s="16">
        <v>900</v>
      </c>
      <c r="AP4" s="16">
        <v>900</v>
      </c>
      <c r="AQ4" s="16">
        <v>900</v>
      </c>
      <c r="AR4" s="16">
        <v>900</v>
      </c>
      <c r="AS4" s="16">
        <v>900</v>
      </c>
      <c r="AT4" s="16">
        <v>900</v>
      </c>
      <c r="AU4" s="16">
        <f t="shared" ref="AU4:AU37" si="1">SUM(AA4:AT4)</f>
        <v>18000</v>
      </c>
    </row>
    <row r="5" spans="1:47" ht="15.5" x14ac:dyDescent="0.35">
      <c r="A5" s="27"/>
      <c r="B5" s="13" t="s">
        <v>5</v>
      </c>
      <c r="C5" s="7" t="s">
        <v>6</v>
      </c>
      <c r="D5" s="7" t="s">
        <v>82</v>
      </c>
      <c r="E5" s="7" t="s">
        <v>84</v>
      </c>
      <c r="F5" s="7">
        <v>1.5</v>
      </c>
      <c r="G5" s="7">
        <v>1.25</v>
      </c>
      <c r="H5" s="7">
        <v>4</v>
      </c>
      <c r="I5" s="7">
        <v>3.75</v>
      </c>
      <c r="J5" s="7">
        <v>2.25</v>
      </c>
      <c r="K5" s="7">
        <v>4.25</v>
      </c>
      <c r="L5" s="7">
        <v>5</v>
      </c>
      <c r="M5" s="7">
        <v>4.5</v>
      </c>
      <c r="N5" s="7">
        <v>4.25</v>
      </c>
      <c r="O5" s="7">
        <v>2.25</v>
      </c>
      <c r="P5" s="7">
        <v>5</v>
      </c>
      <c r="Q5" s="7">
        <v>4</v>
      </c>
      <c r="R5" s="7">
        <v>3</v>
      </c>
      <c r="S5" s="7">
        <v>3.875</v>
      </c>
      <c r="T5" s="7">
        <v>1.5</v>
      </c>
      <c r="U5" s="7">
        <v>3.75</v>
      </c>
      <c r="V5" s="7">
        <v>4</v>
      </c>
      <c r="W5" s="7">
        <v>2.25</v>
      </c>
      <c r="X5" s="7">
        <v>5.25</v>
      </c>
      <c r="Y5" s="7">
        <v>3.75</v>
      </c>
      <c r="Z5" s="7">
        <f t="shared" si="0"/>
        <v>3.46875</v>
      </c>
      <c r="AA5" s="16">
        <v>900</v>
      </c>
      <c r="AB5" s="16">
        <v>900</v>
      </c>
      <c r="AC5" s="16">
        <v>900</v>
      </c>
      <c r="AD5" s="16">
        <v>900</v>
      </c>
      <c r="AE5" s="16">
        <v>900</v>
      </c>
      <c r="AF5" s="16">
        <v>900</v>
      </c>
      <c r="AG5" s="16">
        <v>900</v>
      </c>
      <c r="AH5" s="16">
        <v>900</v>
      </c>
      <c r="AI5" s="16">
        <v>900</v>
      </c>
      <c r="AJ5" s="16">
        <v>900</v>
      </c>
      <c r="AK5" s="16">
        <v>975</v>
      </c>
      <c r="AL5" s="16">
        <v>975</v>
      </c>
      <c r="AM5" s="16">
        <v>780</v>
      </c>
      <c r="AN5" s="16">
        <v>975</v>
      </c>
      <c r="AO5" s="16">
        <v>975</v>
      </c>
      <c r="AP5" s="16">
        <v>975</v>
      </c>
      <c r="AQ5" s="16">
        <v>975</v>
      </c>
      <c r="AR5" s="16">
        <v>975</v>
      </c>
      <c r="AS5" s="16">
        <v>975</v>
      </c>
      <c r="AT5" s="16">
        <v>975</v>
      </c>
      <c r="AU5" s="16">
        <f t="shared" si="1"/>
        <v>18555</v>
      </c>
    </row>
    <row r="6" spans="1:47" ht="15.5" x14ac:dyDescent="0.35">
      <c r="A6" s="27"/>
      <c r="B6" s="13" t="s">
        <v>7</v>
      </c>
      <c r="C6" s="7" t="s">
        <v>8</v>
      </c>
      <c r="D6" s="7" t="s">
        <v>82</v>
      </c>
      <c r="E6" s="7" t="s">
        <v>84</v>
      </c>
      <c r="F6" s="7">
        <v>1.75</v>
      </c>
      <c r="G6" s="7">
        <v>2.25</v>
      </c>
      <c r="H6" s="7">
        <v>4</v>
      </c>
      <c r="I6" s="7">
        <v>1.25</v>
      </c>
      <c r="J6" s="7">
        <v>2.625</v>
      </c>
      <c r="K6" s="7">
        <v>2.5</v>
      </c>
      <c r="L6" s="7">
        <v>5.125</v>
      </c>
      <c r="M6" s="7">
        <v>3.5</v>
      </c>
      <c r="N6" s="7">
        <v>3</v>
      </c>
      <c r="O6" s="7">
        <v>5.5</v>
      </c>
      <c r="P6" s="7">
        <v>4.75</v>
      </c>
      <c r="Q6" s="7">
        <v>4.5</v>
      </c>
      <c r="R6" s="7">
        <v>4.25</v>
      </c>
      <c r="S6" s="7">
        <v>5</v>
      </c>
      <c r="T6" s="7">
        <v>5.5</v>
      </c>
      <c r="U6" s="7">
        <v>3.75</v>
      </c>
      <c r="V6" s="7">
        <v>2.25</v>
      </c>
      <c r="W6" s="7">
        <v>6.5</v>
      </c>
      <c r="X6" s="7">
        <v>5.75</v>
      </c>
      <c r="Y6" s="7">
        <v>2.5</v>
      </c>
      <c r="Z6" s="7">
        <f t="shared" si="0"/>
        <v>3.8125</v>
      </c>
      <c r="AA6" s="16">
        <v>1125</v>
      </c>
      <c r="AB6" s="16">
        <v>1125</v>
      </c>
      <c r="AC6" s="16">
        <v>1125</v>
      </c>
      <c r="AD6" s="16">
        <v>1125</v>
      </c>
      <c r="AE6" s="16">
        <v>1125</v>
      </c>
      <c r="AF6" s="16">
        <v>1125</v>
      </c>
      <c r="AG6" s="16">
        <v>1125</v>
      </c>
      <c r="AH6" s="16">
        <v>1125</v>
      </c>
      <c r="AI6" s="16">
        <v>1125</v>
      </c>
      <c r="AJ6" s="16">
        <v>1125</v>
      </c>
      <c r="AK6" s="16">
        <v>1200</v>
      </c>
      <c r="AL6" s="16">
        <v>1200</v>
      </c>
      <c r="AM6" s="16">
        <v>1200</v>
      </c>
      <c r="AN6" s="16">
        <v>1200</v>
      </c>
      <c r="AO6" s="16">
        <v>1200</v>
      </c>
      <c r="AP6" s="16">
        <v>1200</v>
      </c>
      <c r="AQ6" s="16">
        <v>1200</v>
      </c>
      <c r="AR6" s="16">
        <v>1200</v>
      </c>
      <c r="AS6" s="16">
        <v>1200</v>
      </c>
      <c r="AT6" s="16">
        <v>1200</v>
      </c>
      <c r="AU6" s="16">
        <f t="shared" si="1"/>
        <v>23250</v>
      </c>
    </row>
    <row r="7" spans="1:47" ht="15.5" x14ac:dyDescent="0.35">
      <c r="A7" s="27"/>
      <c r="B7" s="13" t="s">
        <v>9</v>
      </c>
      <c r="C7" s="7" t="s">
        <v>10</v>
      </c>
      <c r="D7" s="7" t="s">
        <v>81</v>
      </c>
      <c r="E7" s="7" t="s">
        <v>85</v>
      </c>
      <c r="F7" s="7">
        <v>1.25</v>
      </c>
      <c r="G7" s="7">
        <v>2.125</v>
      </c>
      <c r="H7" s="7">
        <v>1.375</v>
      </c>
      <c r="I7" s="7">
        <v>2.125</v>
      </c>
      <c r="J7" s="7">
        <v>3.875</v>
      </c>
      <c r="K7" s="7">
        <v>4.25</v>
      </c>
      <c r="L7" s="7">
        <v>3.625</v>
      </c>
      <c r="M7" s="7">
        <v>3.5</v>
      </c>
      <c r="N7" s="7">
        <v>2.25</v>
      </c>
      <c r="O7" s="7">
        <v>4.5</v>
      </c>
      <c r="P7" s="7">
        <v>0.625</v>
      </c>
      <c r="Q7" s="7">
        <v>1</v>
      </c>
      <c r="R7" s="7">
        <v>1</v>
      </c>
      <c r="S7" s="7">
        <v>2</v>
      </c>
      <c r="T7" s="7">
        <v>1.875</v>
      </c>
      <c r="U7" s="7">
        <v>2.5</v>
      </c>
      <c r="V7" s="7">
        <v>3.375</v>
      </c>
      <c r="W7" s="7">
        <v>1.5</v>
      </c>
      <c r="X7" s="7">
        <v>2</v>
      </c>
      <c r="Y7" s="7">
        <v>4</v>
      </c>
      <c r="Z7" s="7">
        <f t="shared" si="0"/>
        <v>2.4375</v>
      </c>
      <c r="AA7" s="16">
        <v>600</v>
      </c>
      <c r="AB7" s="16">
        <v>600</v>
      </c>
      <c r="AC7" s="16">
        <v>600</v>
      </c>
      <c r="AD7" s="16">
        <v>600</v>
      </c>
      <c r="AE7" s="16">
        <v>600</v>
      </c>
      <c r="AF7" s="16">
        <v>600</v>
      </c>
      <c r="AG7" s="16">
        <v>600</v>
      </c>
      <c r="AH7" s="16">
        <v>600</v>
      </c>
      <c r="AI7" s="16">
        <v>600</v>
      </c>
      <c r="AJ7" s="16">
        <v>600</v>
      </c>
      <c r="AK7" s="16">
        <v>750</v>
      </c>
      <c r="AL7" s="16">
        <v>750</v>
      </c>
      <c r="AM7" s="16">
        <v>750</v>
      </c>
      <c r="AN7" s="16">
        <v>750</v>
      </c>
      <c r="AO7" s="16">
        <v>750</v>
      </c>
      <c r="AP7" s="16">
        <v>750</v>
      </c>
      <c r="AQ7" s="16">
        <v>750</v>
      </c>
      <c r="AR7" s="16">
        <v>750</v>
      </c>
      <c r="AS7" s="16">
        <v>750</v>
      </c>
      <c r="AT7" s="16">
        <v>750</v>
      </c>
      <c r="AU7" s="16">
        <f t="shared" si="1"/>
        <v>13500</v>
      </c>
    </row>
    <row r="8" spans="1:47" ht="15.5" x14ac:dyDescent="0.35">
      <c r="A8" s="27"/>
      <c r="B8" s="13" t="s">
        <v>11</v>
      </c>
      <c r="C8" s="7" t="s">
        <v>12</v>
      </c>
      <c r="D8" s="7" t="s">
        <v>81</v>
      </c>
      <c r="E8" s="7" t="s">
        <v>84</v>
      </c>
      <c r="F8" s="7">
        <v>4</v>
      </c>
      <c r="G8" s="7">
        <v>5.5</v>
      </c>
      <c r="H8" s="7">
        <v>4.25</v>
      </c>
      <c r="I8" s="7">
        <v>5</v>
      </c>
      <c r="J8" s="7">
        <v>2.75</v>
      </c>
      <c r="K8" s="7">
        <v>4.5</v>
      </c>
      <c r="L8" s="7">
        <v>2</v>
      </c>
      <c r="M8" s="7">
        <v>5</v>
      </c>
      <c r="N8" s="7">
        <v>5.25</v>
      </c>
      <c r="O8" s="7">
        <v>5.5</v>
      </c>
      <c r="P8" s="7">
        <v>3.25</v>
      </c>
      <c r="Q8" s="7">
        <v>1.25</v>
      </c>
      <c r="R8" s="7">
        <v>3.5</v>
      </c>
      <c r="S8" s="7">
        <v>4.25</v>
      </c>
      <c r="T8" s="7">
        <v>3.625</v>
      </c>
      <c r="U8" s="7">
        <v>3.25</v>
      </c>
      <c r="V8" s="7">
        <v>3</v>
      </c>
      <c r="W8" s="7">
        <v>0.75</v>
      </c>
      <c r="X8" s="7">
        <v>3.25</v>
      </c>
      <c r="Y8" s="7">
        <v>2.75</v>
      </c>
      <c r="Z8" s="7">
        <f t="shared" si="0"/>
        <v>3.6312500000000001</v>
      </c>
      <c r="AA8" s="16">
        <v>525</v>
      </c>
      <c r="AB8" s="16">
        <v>525</v>
      </c>
      <c r="AC8" s="16">
        <v>525</v>
      </c>
      <c r="AD8" s="16">
        <v>525</v>
      </c>
      <c r="AE8" s="16">
        <v>525</v>
      </c>
      <c r="AF8" s="16">
        <v>525</v>
      </c>
      <c r="AG8" s="16">
        <v>525</v>
      </c>
      <c r="AH8" s="16">
        <v>525</v>
      </c>
      <c r="AI8" s="16">
        <v>525</v>
      </c>
      <c r="AJ8" s="16">
        <v>525</v>
      </c>
      <c r="AK8" s="16">
        <v>750</v>
      </c>
      <c r="AL8" s="16">
        <v>750</v>
      </c>
      <c r="AM8" s="16">
        <v>750</v>
      </c>
      <c r="AN8" s="16">
        <v>750</v>
      </c>
      <c r="AO8" s="16">
        <v>750</v>
      </c>
      <c r="AP8" s="16">
        <v>750</v>
      </c>
      <c r="AQ8" s="16">
        <v>750</v>
      </c>
      <c r="AR8" s="16">
        <v>750</v>
      </c>
      <c r="AS8" s="16">
        <v>750</v>
      </c>
      <c r="AT8" s="16">
        <v>750</v>
      </c>
      <c r="AU8" s="16">
        <f t="shared" si="1"/>
        <v>12750</v>
      </c>
    </row>
    <row r="9" spans="1:47" ht="15.5" x14ac:dyDescent="0.35">
      <c r="A9" s="27"/>
      <c r="B9" s="13" t="s">
        <v>13</v>
      </c>
      <c r="C9" s="7" t="s">
        <v>14</v>
      </c>
      <c r="D9" s="7" t="s">
        <v>81</v>
      </c>
      <c r="E9" s="7" t="s">
        <v>84</v>
      </c>
      <c r="F9" s="7">
        <v>3.5</v>
      </c>
      <c r="G9" s="7">
        <v>3</v>
      </c>
      <c r="H9" s="7">
        <v>2.5</v>
      </c>
      <c r="I9" s="7">
        <v>2.625</v>
      </c>
      <c r="J9" s="7">
        <v>2.875</v>
      </c>
      <c r="K9" s="7">
        <v>3.5</v>
      </c>
      <c r="L9" s="7">
        <v>4.5</v>
      </c>
      <c r="M9" s="7">
        <v>5</v>
      </c>
      <c r="N9" s="7">
        <v>5.25</v>
      </c>
      <c r="O9" s="7">
        <v>6.25</v>
      </c>
      <c r="P9" s="7">
        <v>3.5</v>
      </c>
      <c r="Q9" s="7">
        <v>5.75</v>
      </c>
      <c r="R9" s="7">
        <v>5.5</v>
      </c>
      <c r="S9" s="7">
        <v>5</v>
      </c>
      <c r="T9" s="7">
        <v>8</v>
      </c>
      <c r="U9" s="7">
        <v>5.25</v>
      </c>
      <c r="V9" s="7">
        <v>8.5</v>
      </c>
      <c r="W9" s="7">
        <v>8</v>
      </c>
      <c r="X9" s="7">
        <v>9.5</v>
      </c>
      <c r="Y9" s="7">
        <v>6</v>
      </c>
      <c r="Z9" s="7">
        <f t="shared" si="0"/>
        <v>5.2</v>
      </c>
      <c r="AA9" s="16">
        <v>900</v>
      </c>
      <c r="AB9" s="16">
        <v>900</v>
      </c>
      <c r="AC9" s="16">
        <v>900</v>
      </c>
      <c r="AD9" s="16">
        <v>900</v>
      </c>
      <c r="AE9" s="16">
        <v>900</v>
      </c>
      <c r="AF9" s="16">
        <v>900</v>
      </c>
      <c r="AG9" s="16">
        <v>900</v>
      </c>
      <c r="AH9" s="16">
        <v>900</v>
      </c>
      <c r="AI9" s="16">
        <v>900</v>
      </c>
      <c r="AJ9" s="16">
        <v>900</v>
      </c>
      <c r="AK9" s="16">
        <v>900</v>
      </c>
      <c r="AL9" s="16">
        <v>900</v>
      </c>
      <c r="AM9" s="16">
        <v>900</v>
      </c>
      <c r="AN9" s="16">
        <v>900</v>
      </c>
      <c r="AO9" s="16">
        <v>900</v>
      </c>
      <c r="AP9" s="16">
        <v>900</v>
      </c>
      <c r="AQ9" s="16">
        <v>900</v>
      </c>
      <c r="AR9" s="16">
        <v>900</v>
      </c>
      <c r="AS9" s="16">
        <v>900</v>
      </c>
      <c r="AT9" s="16">
        <v>900</v>
      </c>
      <c r="AU9" s="16">
        <f t="shared" si="1"/>
        <v>18000</v>
      </c>
    </row>
    <row r="10" spans="1:47" ht="15.5" x14ac:dyDescent="0.35">
      <c r="A10" s="27"/>
      <c r="B10" s="13" t="s">
        <v>15</v>
      </c>
      <c r="C10" s="7" t="s">
        <v>16</v>
      </c>
      <c r="D10" s="7" t="s">
        <v>82</v>
      </c>
      <c r="E10" s="7" t="s">
        <v>85</v>
      </c>
      <c r="F10" s="7">
        <v>4.25</v>
      </c>
      <c r="G10" s="7">
        <v>7.75</v>
      </c>
      <c r="H10" s="7">
        <v>3</v>
      </c>
      <c r="I10" s="7">
        <v>4</v>
      </c>
      <c r="J10" s="7">
        <v>2</v>
      </c>
      <c r="K10" s="7">
        <v>2</v>
      </c>
      <c r="L10" s="7">
        <v>2.75</v>
      </c>
      <c r="M10" s="7">
        <v>2</v>
      </c>
      <c r="N10" s="7">
        <v>1.5</v>
      </c>
      <c r="O10" s="7">
        <v>1.75</v>
      </c>
      <c r="P10" s="7">
        <v>2.5</v>
      </c>
      <c r="Q10" s="7">
        <v>2.25</v>
      </c>
      <c r="R10" s="7">
        <v>2.25</v>
      </c>
      <c r="S10" s="7">
        <v>3.25</v>
      </c>
      <c r="T10" s="7">
        <v>2.25</v>
      </c>
      <c r="U10" s="7">
        <v>4</v>
      </c>
      <c r="V10" s="7">
        <v>4</v>
      </c>
      <c r="W10" s="7">
        <v>3.5</v>
      </c>
      <c r="X10" s="7">
        <v>2.125</v>
      </c>
      <c r="Y10" s="7">
        <v>4.75</v>
      </c>
      <c r="Z10" s="7">
        <f t="shared" si="0"/>
        <v>3.09375</v>
      </c>
      <c r="AA10" s="16">
        <v>1275</v>
      </c>
      <c r="AB10" s="16">
        <v>1275</v>
      </c>
      <c r="AC10" s="16">
        <v>1275</v>
      </c>
      <c r="AD10" s="16">
        <v>1275</v>
      </c>
      <c r="AE10" s="16">
        <v>1275</v>
      </c>
      <c r="AF10" s="16">
        <v>1275</v>
      </c>
      <c r="AG10" s="16">
        <v>1275</v>
      </c>
      <c r="AH10" s="16">
        <v>1275</v>
      </c>
      <c r="AI10" s="16">
        <v>1275</v>
      </c>
      <c r="AJ10" s="16">
        <v>1275</v>
      </c>
      <c r="AK10" s="16">
        <v>1275</v>
      </c>
      <c r="AL10" s="16">
        <v>1275</v>
      </c>
      <c r="AM10" s="16">
        <v>1275</v>
      </c>
      <c r="AN10" s="16">
        <v>1275</v>
      </c>
      <c r="AO10" s="16">
        <v>1275</v>
      </c>
      <c r="AP10" s="16">
        <v>1275</v>
      </c>
      <c r="AQ10" s="16">
        <v>1275</v>
      </c>
      <c r="AR10" s="16">
        <v>1275</v>
      </c>
      <c r="AS10" s="16">
        <v>1275</v>
      </c>
      <c r="AT10" s="16">
        <v>1275</v>
      </c>
      <c r="AU10" s="16">
        <f t="shared" si="1"/>
        <v>25500</v>
      </c>
    </row>
    <row r="11" spans="1:47" ht="15.5" x14ac:dyDescent="0.35">
      <c r="A11" s="27"/>
      <c r="B11" s="13" t="s">
        <v>17</v>
      </c>
      <c r="C11" s="7" t="s">
        <v>18</v>
      </c>
      <c r="D11" s="7" t="s">
        <v>82</v>
      </c>
      <c r="E11" s="7" t="s">
        <v>85</v>
      </c>
      <c r="F11" s="7">
        <v>8.25</v>
      </c>
      <c r="G11" s="7">
        <v>3.25</v>
      </c>
      <c r="H11" s="7">
        <v>6</v>
      </c>
      <c r="I11" s="7">
        <v>6.125</v>
      </c>
      <c r="J11" s="7">
        <v>5</v>
      </c>
      <c r="K11" s="7">
        <v>6</v>
      </c>
      <c r="L11" s="7">
        <v>5.25</v>
      </c>
      <c r="M11" s="7">
        <v>6</v>
      </c>
      <c r="N11" s="7">
        <v>8.25</v>
      </c>
      <c r="O11" s="7">
        <v>3.375</v>
      </c>
      <c r="P11" s="7">
        <v>4.875</v>
      </c>
      <c r="Q11" s="7">
        <v>6.5</v>
      </c>
      <c r="R11" s="7">
        <v>6.75</v>
      </c>
      <c r="S11" s="7">
        <v>7.75</v>
      </c>
      <c r="T11" s="7">
        <v>8.25</v>
      </c>
      <c r="U11" s="7">
        <v>8</v>
      </c>
      <c r="V11" s="7">
        <v>8.5</v>
      </c>
      <c r="W11" s="7">
        <v>5</v>
      </c>
      <c r="X11" s="7">
        <v>8.5</v>
      </c>
      <c r="Y11" s="7">
        <v>8.25</v>
      </c>
      <c r="Z11" s="7">
        <f t="shared" si="0"/>
        <v>6.4937500000000004</v>
      </c>
      <c r="AA11" s="16">
        <v>750</v>
      </c>
      <c r="AB11" s="16">
        <v>750</v>
      </c>
      <c r="AC11" s="16">
        <v>750</v>
      </c>
      <c r="AD11" s="16">
        <v>750</v>
      </c>
      <c r="AE11" s="16">
        <v>750</v>
      </c>
      <c r="AF11" s="16">
        <v>750</v>
      </c>
      <c r="AG11" s="16">
        <v>750</v>
      </c>
      <c r="AH11" s="16">
        <v>750</v>
      </c>
      <c r="AI11" s="16">
        <v>750</v>
      </c>
      <c r="AJ11" s="16">
        <v>750</v>
      </c>
      <c r="AK11" s="16">
        <v>750</v>
      </c>
      <c r="AL11" s="16">
        <v>750</v>
      </c>
      <c r="AM11" s="16">
        <v>750</v>
      </c>
      <c r="AN11" s="16">
        <v>750</v>
      </c>
      <c r="AO11" s="16">
        <v>750</v>
      </c>
      <c r="AP11" s="16">
        <v>750</v>
      </c>
      <c r="AQ11" s="16">
        <v>750</v>
      </c>
      <c r="AR11" s="16">
        <v>750</v>
      </c>
      <c r="AS11" s="16">
        <v>750</v>
      </c>
      <c r="AT11" s="16">
        <v>750</v>
      </c>
      <c r="AU11" s="16">
        <f t="shared" si="1"/>
        <v>15000</v>
      </c>
    </row>
    <row r="12" spans="1:47" ht="15.5" x14ac:dyDescent="0.35">
      <c r="A12" s="27"/>
      <c r="B12" s="13" t="s">
        <v>19</v>
      </c>
      <c r="C12" s="7" t="s">
        <v>20</v>
      </c>
      <c r="D12" s="7" t="s">
        <v>82</v>
      </c>
      <c r="E12" s="7" t="s">
        <v>84</v>
      </c>
      <c r="F12" s="7">
        <v>1.75</v>
      </c>
      <c r="G12" s="7">
        <v>1.25</v>
      </c>
      <c r="H12" s="7">
        <v>3.75</v>
      </c>
      <c r="I12" s="7">
        <v>2</v>
      </c>
      <c r="J12" s="7">
        <v>3.75</v>
      </c>
      <c r="K12" s="7">
        <v>4.5</v>
      </c>
      <c r="L12" s="7">
        <v>3.25</v>
      </c>
      <c r="M12" s="7">
        <v>3.25</v>
      </c>
      <c r="N12" s="7">
        <v>5.25</v>
      </c>
      <c r="O12" s="7">
        <v>3</v>
      </c>
      <c r="P12" s="7">
        <v>3.5</v>
      </c>
      <c r="Q12" s="7">
        <v>2</v>
      </c>
      <c r="R12" s="7">
        <v>2.75</v>
      </c>
      <c r="S12" s="7">
        <v>1.5</v>
      </c>
      <c r="T12" s="7">
        <v>2.75</v>
      </c>
      <c r="U12" s="7">
        <v>1.5</v>
      </c>
      <c r="V12" s="7">
        <v>3.5</v>
      </c>
      <c r="W12" s="7">
        <v>3.75</v>
      </c>
      <c r="X12" s="7">
        <v>3.75</v>
      </c>
      <c r="Y12" s="7">
        <v>3.75</v>
      </c>
      <c r="Z12" s="7">
        <f t="shared" si="0"/>
        <v>3.0249999999999999</v>
      </c>
      <c r="AA12" s="16">
        <v>750</v>
      </c>
      <c r="AB12" s="16">
        <v>670</v>
      </c>
      <c r="AC12" s="16">
        <v>750</v>
      </c>
      <c r="AD12" s="16">
        <v>750</v>
      </c>
      <c r="AE12" s="16">
        <v>750</v>
      </c>
      <c r="AF12" s="16">
        <v>750</v>
      </c>
      <c r="AG12" s="16">
        <v>750</v>
      </c>
      <c r="AH12" s="16">
        <v>750</v>
      </c>
      <c r="AI12" s="16">
        <v>750</v>
      </c>
      <c r="AJ12" s="16">
        <v>670</v>
      </c>
      <c r="AK12" s="16">
        <v>825</v>
      </c>
      <c r="AL12" s="16">
        <v>825</v>
      </c>
      <c r="AM12" s="16">
        <v>825</v>
      </c>
      <c r="AN12" s="16">
        <v>825</v>
      </c>
      <c r="AO12" s="16">
        <v>825</v>
      </c>
      <c r="AP12" s="16">
        <v>825</v>
      </c>
      <c r="AQ12" s="16">
        <v>825</v>
      </c>
      <c r="AR12" s="16">
        <v>825</v>
      </c>
      <c r="AS12" s="16">
        <v>825</v>
      </c>
      <c r="AT12" s="16">
        <v>825</v>
      </c>
      <c r="AU12" s="16">
        <f t="shared" si="1"/>
        <v>15590</v>
      </c>
    </row>
    <row r="13" spans="1:47" ht="15.5" x14ac:dyDescent="0.35">
      <c r="A13" s="27"/>
      <c r="B13" s="13" t="s">
        <v>21</v>
      </c>
      <c r="C13" s="7" t="s">
        <v>22</v>
      </c>
      <c r="D13" s="7" t="s">
        <v>82</v>
      </c>
      <c r="E13" s="7" t="s">
        <v>85</v>
      </c>
      <c r="F13" s="7">
        <v>2.5</v>
      </c>
      <c r="G13" s="7">
        <v>4.75</v>
      </c>
      <c r="H13" s="7">
        <v>1.25</v>
      </c>
      <c r="I13" s="7">
        <v>2.5</v>
      </c>
      <c r="J13" s="7">
        <v>3</v>
      </c>
      <c r="K13" s="7">
        <v>2.75</v>
      </c>
      <c r="L13" s="7">
        <v>1.625</v>
      </c>
      <c r="M13" s="7">
        <v>4.25</v>
      </c>
      <c r="N13" s="7">
        <v>1.75</v>
      </c>
      <c r="O13" s="7">
        <v>3.25</v>
      </c>
      <c r="P13" s="7">
        <v>4.5</v>
      </c>
      <c r="Q13" s="7">
        <v>3.75</v>
      </c>
      <c r="R13" s="7">
        <v>0.5</v>
      </c>
      <c r="S13" s="7">
        <v>3</v>
      </c>
      <c r="T13" s="7">
        <v>2</v>
      </c>
      <c r="U13" s="7">
        <v>3</v>
      </c>
      <c r="V13" s="7">
        <v>2.25</v>
      </c>
      <c r="W13" s="7">
        <v>2.5</v>
      </c>
      <c r="X13" s="7">
        <v>2.75</v>
      </c>
      <c r="Y13" s="7">
        <v>5.75</v>
      </c>
      <c r="Z13" s="7">
        <f t="shared" si="0"/>
        <v>2.8812500000000001</v>
      </c>
      <c r="AA13" s="16">
        <v>900</v>
      </c>
      <c r="AB13" s="16">
        <v>900</v>
      </c>
      <c r="AC13" s="16">
        <v>900</v>
      </c>
      <c r="AD13" s="16">
        <v>900</v>
      </c>
      <c r="AE13" s="16">
        <v>900</v>
      </c>
      <c r="AF13" s="16">
        <v>900</v>
      </c>
      <c r="AG13" s="16">
        <v>900</v>
      </c>
      <c r="AH13" s="16">
        <v>900</v>
      </c>
      <c r="AI13" s="16">
        <v>900</v>
      </c>
      <c r="AJ13" s="16">
        <v>900</v>
      </c>
      <c r="AK13" s="16">
        <v>975</v>
      </c>
      <c r="AL13" s="16">
        <v>975</v>
      </c>
      <c r="AM13" s="16">
        <v>975</v>
      </c>
      <c r="AN13" s="16">
        <v>975</v>
      </c>
      <c r="AO13" s="16">
        <v>975</v>
      </c>
      <c r="AP13" s="16">
        <v>975</v>
      </c>
      <c r="AQ13" s="16">
        <v>975</v>
      </c>
      <c r="AR13" s="16">
        <v>975</v>
      </c>
      <c r="AS13" s="16">
        <v>975</v>
      </c>
      <c r="AT13" s="16">
        <v>975</v>
      </c>
      <c r="AU13" s="16">
        <f t="shared" si="1"/>
        <v>18750</v>
      </c>
    </row>
    <row r="14" spans="1:47" ht="15.5" x14ac:dyDescent="0.35">
      <c r="A14" s="27"/>
      <c r="B14" s="13" t="s">
        <v>23</v>
      </c>
      <c r="C14" s="7" t="s">
        <v>24</v>
      </c>
      <c r="D14" s="7" t="s">
        <v>81</v>
      </c>
      <c r="E14" s="7" t="s">
        <v>84</v>
      </c>
      <c r="F14" s="7">
        <v>0.75</v>
      </c>
      <c r="G14" s="7">
        <v>1.25</v>
      </c>
      <c r="H14" s="7">
        <v>1.375</v>
      </c>
      <c r="I14" s="7">
        <v>1.75</v>
      </c>
      <c r="J14" s="7">
        <v>1.5</v>
      </c>
      <c r="K14" s="7">
        <v>0.75</v>
      </c>
      <c r="L14" s="7">
        <v>2</v>
      </c>
      <c r="M14" s="7">
        <v>2</v>
      </c>
      <c r="N14" s="7">
        <v>1.75</v>
      </c>
      <c r="O14" s="7">
        <v>1.25</v>
      </c>
      <c r="P14" s="7">
        <v>1.875</v>
      </c>
      <c r="Q14" s="7">
        <v>1.75</v>
      </c>
      <c r="R14" s="7">
        <v>0.5</v>
      </c>
      <c r="S14" s="7">
        <v>1.75</v>
      </c>
      <c r="T14" s="7">
        <v>1.75</v>
      </c>
      <c r="U14" s="7">
        <v>1.25</v>
      </c>
      <c r="V14" s="7">
        <v>2.5</v>
      </c>
      <c r="W14" s="7">
        <v>3.25</v>
      </c>
      <c r="X14" s="7">
        <v>1</v>
      </c>
      <c r="Y14" s="7">
        <v>3</v>
      </c>
      <c r="Z14" s="7">
        <f t="shared" si="0"/>
        <v>1.65</v>
      </c>
      <c r="AA14" s="16">
        <v>1125</v>
      </c>
      <c r="AB14" s="16">
        <v>1125</v>
      </c>
      <c r="AC14" s="16">
        <v>1125</v>
      </c>
      <c r="AD14" s="16">
        <v>1125</v>
      </c>
      <c r="AE14" s="16">
        <v>1125</v>
      </c>
      <c r="AF14" s="16">
        <v>1125</v>
      </c>
      <c r="AG14" s="16">
        <v>1125</v>
      </c>
      <c r="AH14" s="16">
        <v>1125</v>
      </c>
      <c r="AI14" s="16">
        <v>1125</v>
      </c>
      <c r="AJ14" s="16">
        <v>1125</v>
      </c>
      <c r="AK14" s="16">
        <v>1200</v>
      </c>
      <c r="AL14" s="16">
        <v>1200</v>
      </c>
      <c r="AM14" s="16">
        <v>1200</v>
      </c>
      <c r="AN14" s="16">
        <v>1200</v>
      </c>
      <c r="AO14" s="16">
        <v>1200</v>
      </c>
      <c r="AP14" s="16">
        <v>1200</v>
      </c>
      <c r="AQ14" s="16">
        <v>1200</v>
      </c>
      <c r="AR14" s="16">
        <v>1200</v>
      </c>
      <c r="AS14" s="16">
        <v>1200</v>
      </c>
      <c r="AT14" s="16">
        <v>1200</v>
      </c>
      <c r="AU14" s="16">
        <f t="shared" si="1"/>
        <v>23250</v>
      </c>
    </row>
    <row r="15" spans="1:47" ht="15.5" x14ac:dyDescent="0.35">
      <c r="A15" s="27"/>
      <c r="B15" s="13" t="s">
        <v>25</v>
      </c>
      <c r="C15" s="7" t="s">
        <v>26</v>
      </c>
      <c r="D15" s="7" t="s">
        <v>82</v>
      </c>
      <c r="E15" s="7" t="s">
        <v>85</v>
      </c>
      <c r="F15" s="7">
        <v>2</v>
      </c>
      <c r="G15" s="7">
        <v>3</v>
      </c>
      <c r="H15" s="7">
        <v>4.375</v>
      </c>
      <c r="I15" s="7">
        <v>10</v>
      </c>
      <c r="J15" s="7">
        <v>4.875</v>
      </c>
      <c r="K15" s="7">
        <v>5</v>
      </c>
      <c r="L15" s="7">
        <v>6</v>
      </c>
      <c r="M15" s="7">
        <v>2.5</v>
      </c>
      <c r="N15" s="7">
        <v>5.5</v>
      </c>
      <c r="O15" s="7">
        <v>4.75</v>
      </c>
      <c r="P15" s="7">
        <v>4.75</v>
      </c>
      <c r="Q15" s="7">
        <v>5.5</v>
      </c>
      <c r="R15" s="7">
        <v>4.625</v>
      </c>
      <c r="S15" s="7">
        <v>4.75</v>
      </c>
      <c r="T15" s="7">
        <v>2.25</v>
      </c>
      <c r="U15" s="7">
        <v>3.75</v>
      </c>
      <c r="V15" s="7">
        <v>3</v>
      </c>
      <c r="W15" s="7">
        <v>3.5</v>
      </c>
      <c r="X15" s="7">
        <v>4</v>
      </c>
      <c r="Y15" s="7">
        <v>4</v>
      </c>
      <c r="Z15" s="7">
        <f t="shared" si="0"/>
        <v>4.40625</v>
      </c>
      <c r="AA15" s="16">
        <v>900</v>
      </c>
      <c r="AB15" s="16">
        <v>900</v>
      </c>
      <c r="AC15" s="16">
        <v>900</v>
      </c>
      <c r="AD15" s="16">
        <v>900</v>
      </c>
      <c r="AE15" s="16">
        <v>900</v>
      </c>
      <c r="AF15" s="16">
        <v>900</v>
      </c>
      <c r="AG15" s="16">
        <v>900</v>
      </c>
      <c r="AH15" s="16">
        <v>900</v>
      </c>
      <c r="AI15" s="16">
        <v>900</v>
      </c>
      <c r="AJ15" s="16">
        <v>900</v>
      </c>
      <c r="AK15" s="16">
        <v>975</v>
      </c>
      <c r="AL15" s="16">
        <v>975</v>
      </c>
      <c r="AM15" s="16">
        <v>975</v>
      </c>
      <c r="AN15" s="16">
        <v>975</v>
      </c>
      <c r="AO15" s="16">
        <v>975</v>
      </c>
      <c r="AP15" s="16">
        <v>975</v>
      </c>
      <c r="AQ15" s="16">
        <v>975</v>
      </c>
      <c r="AR15" s="16">
        <v>975</v>
      </c>
      <c r="AS15" s="16">
        <v>975</v>
      </c>
      <c r="AT15" s="16">
        <v>975</v>
      </c>
      <c r="AU15" s="16">
        <f t="shared" si="1"/>
        <v>18750</v>
      </c>
    </row>
    <row r="16" spans="1:47" ht="15.5" x14ac:dyDescent="0.35">
      <c r="A16" s="27"/>
      <c r="B16" s="13" t="s">
        <v>27</v>
      </c>
      <c r="C16" s="7" t="s">
        <v>28</v>
      </c>
      <c r="D16" s="7" t="s">
        <v>82</v>
      </c>
      <c r="E16" s="7" t="s">
        <v>85</v>
      </c>
      <c r="F16" s="7">
        <v>4.25</v>
      </c>
      <c r="G16" s="7">
        <v>1.5</v>
      </c>
      <c r="H16" s="7">
        <v>3.25</v>
      </c>
      <c r="I16" s="7">
        <v>3.5</v>
      </c>
      <c r="J16" s="7">
        <v>2.6666666666666665</v>
      </c>
      <c r="K16" s="7">
        <v>3.5</v>
      </c>
      <c r="L16" s="7">
        <v>4.75</v>
      </c>
      <c r="M16" s="7">
        <v>2.75</v>
      </c>
      <c r="N16" s="7">
        <v>1.75</v>
      </c>
      <c r="O16" s="7">
        <v>0</v>
      </c>
      <c r="P16" s="7">
        <v>1.75</v>
      </c>
      <c r="Q16" s="7">
        <v>1.75</v>
      </c>
      <c r="R16" s="7">
        <v>2</v>
      </c>
      <c r="S16" s="7">
        <v>3.5</v>
      </c>
      <c r="T16" s="7">
        <v>6</v>
      </c>
      <c r="U16" s="7">
        <v>4.5</v>
      </c>
      <c r="V16" s="7">
        <v>3.625</v>
      </c>
      <c r="W16" s="7">
        <v>5</v>
      </c>
      <c r="X16" s="7">
        <v>5.25</v>
      </c>
      <c r="Y16" s="7">
        <v>6</v>
      </c>
      <c r="Z16" s="7">
        <f t="shared" si="0"/>
        <v>3.364583333333333</v>
      </c>
      <c r="AA16" s="16">
        <v>1350</v>
      </c>
      <c r="AB16" s="16">
        <v>1350</v>
      </c>
      <c r="AC16" s="16">
        <v>1350</v>
      </c>
      <c r="AD16" s="16">
        <v>1350</v>
      </c>
      <c r="AE16" s="16">
        <v>1350</v>
      </c>
      <c r="AF16" s="16">
        <v>1350</v>
      </c>
      <c r="AG16" s="16">
        <v>1350</v>
      </c>
      <c r="AH16" s="16">
        <v>1350</v>
      </c>
      <c r="AI16" s="16">
        <v>1350</v>
      </c>
      <c r="AJ16" s="16">
        <v>1080</v>
      </c>
      <c r="AK16" s="16">
        <v>1350</v>
      </c>
      <c r="AL16" s="16">
        <v>1350</v>
      </c>
      <c r="AM16" s="16">
        <v>1350</v>
      </c>
      <c r="AN16" s="16">
        <v>1350</v>
      </c>
      <c r="AO16" s="16">
        <v>1350</v>
      </c>
      <c r="AP16" s="16">
        <v>1350</v>
      </c>
      <c r="AQ16" s="16">
        <v>1350</v>
      </c>
      <c r="AR16" s="16">
        <v>1350</v>
      </c>
      <c r="AS16" s="16">
        <v>1350</v>
      </c>
      <c r="AT16" s="16">
        <v>1350</v>
      </c>
      <c r="AU16" s="16">
        <f t="shared" si="1"/>
        <v>26730</v>
      </c>
    </row>
    <row r="17" spans="1:47" ht="15.5" x14ac:dyDescent="0.35">
      <c r="A17" s="27"/>
      <c r="B17" s="13" t="s">
        <v>29</v>
      </c>
      <c r="C17" s="7" t="s">
        <v>30</v>
      </c>
      <c r="D17" s="7" t="s">
        <v>82</v>
      </c>
      <c r="E17" s="7" t="s">
        <v>85</v>
      </c>
      <c r="F17" s="7">
        <v>1.75</v>
      </c>
      <c r="G17" s="7">
        <v>2</v>
      </c>
      <c r="H17" s="7">
        <v>1.5</v>
      </c>
      <c r="I17" s="7">
        <v>1.75</v>
      </c>
      <c r="J17" s="7">
        <v>2.5</v>
      </c>
      <c r="K17" s="7">
        <v>1.5</v>
      </c>
      <c r="L17" s="7">
        <v>1.25</v>
      </c>
      <c r="M17" s="7">
        <v>1.8333333333333333</v>
      </c>
      <c r="N17" s="7">
        <v>0.75</v>
      </c>
      <c r="O17" s="7">
        <v>1</v>
      </c>
      <c r="P17" s="7">
        <v>1.75</v>
      </c>
      <c r="Q17" s="7">
        <v>2.125</v>
      </c>
      <c r="R17" s="7">
        <v>1</v>
      </c>
      <c r="S17" s="7">
        <v>0.75</v>
      </c>
      <c r="T17" s="7">
        <v>0</v>
      </c>
      <c r="U17" s="7">
        <v>0.25</v>
      </c>
      <c r="V17" s="7">
        <v>1.75</v>
      </c>
      <c r="W17" s="7">
        <v>0.25</v>
      </c>
      <c r="X17" s="7">
        <v>0.5</v>
      </c>
      <c r="Y17" s="7">
        <v>1.25</v>
      </c>
      <c r="Z17" s="7">
        <f t="shared" si="0"/>
        <v>1.2729166666666667</v>
      </c>
      <c r="AA17" s="16">
        <v>1275</v>
      </c>
      <c r="AB17" s="16">
        <v>1275</v>
      </c>
      <c r="AC17" s="16">
        <v>1275</v>
      </c>
      <c r="AD17" s="16">
        <v>1275</v>
      </c>
      <c r="AE17" s="16">
        <v>1275</v>
      </c>
      <c r="AF17" s="16">
        <v>1275</v>
      </c>
      <c r="AG17" s="16">
        <v>1275</v>
      </c>
      <c r="AH17" s="16">
        <v>1275</v>
      </c>
      <c r="AI17" s="16">
        <v>1275</v>
      </c>
      <c r="AJ17" s="16">
        <v>1275</v>
      </c>
      <c r="AK17" s="16">
        <v>1275</v>
      </c>
      <c r="AL17" s="16">
        <v>1275</v>
      </c>
      <c r="AM17" s="16">
        <v>1275</v>
      </c>
      <c r="AN17" s="16">
        <v>1275</v>
      </c>
      <c r="AO17" s="16">
        <v>1275</v>
      </c>
      <c r="AP17" s="16">
        <v>1275</v>
      </c>
      <c r="AQ17" s="16">
        <v>1275</v>
      </c>
      <c r="AR17" s="16">
        <v>1275</v>
      </c>
      <c r="AS17" s="16">
        <v>1275</v>
      </c>
      <c r="AT17" s="16">
        <v>1275</v>
      </c>
      <c r="AU17" s="16">
        <f t="shared" si="1"/>
        <v>25500</v>
      </c>
    </row>
    <row r="18" spans="1:47" ht="15.5" x14ac:dyDescent="0.35">
      <c r="A18" s="27"/>
      <c r="B18" s="13" t="s">
        <v>31</v>
      </c>
      <c r="C18" s="7" t="s">
        <v>32</v>
      </c>
      <c r="D18" s="7" t="s">
        <v>81</v>
      </c>
      <c r="E18" s="7" t="s">
        <v>84</v>
      </c>
      <c r="F18" s="7">
        <v>1.25</v>
      </c>
      <c r="G18" s="7">
        <v>2</v>
      </c>
      <c r="H18" s="7">
        <v>2</v>
      </c>
      <c r="I18" s="7">
        <v>2.1666666666666665</v>
      </c>
      <c r="J18" s="7">
        <v>1.125</v>
      </c>
      <c r="K18" s="7">
        <v>1.25</v>
      </c>
      <c r="L18" s="7">
        <v>0.75</v>
      </c>
      <c r="M18" s="7">
        <v>2</v>
      </c>
      <c r="N18" s="7">
        <v>2</v>
      </c>
      <c r="O18" s="7">
        <v>1.6666666666666667</v>
      </c>
      <c r="P18" s="7">
        <v>3.5</v>
      </c>
      <c r="Q18" s="7">
        <v>2</v>
      </c>
      <c r="R18" s="7">
        <v>4</v>
      </c>
      <c r="S18" s="7">
        <v>0.75</v>
      </c>
      <c r="T18" s="7">
        <v>1</v>
      </c>
      <c r="U18" s="7">
        <v>2.25</v>
      </c>
      <c r="V18" s="7">
        <v>2.25</v>
      </c>
      <c r="W18" s="7">
        <v>1.25</v>
      </c>
      <c r="X18" s="7">
        <v>2.625</v>
      </c>
      <c r="Y18" s="7">
        <v>2.25</v>
      </c>
      <c r="Z18" s="7">
        <f t="shared" si="0"/>
        <v>1.9041666666666663</v>
      </c>
      <c r="AA18" s="16">
        <v>675</v>
      </c>
      <c r="AB18" s="16">
        <v>675</v>
      </c>
      <c r="AC18" s="16">
        <v>675</v>
      </c>
      <c r="AD18" s="16">
        <v>540</v>
      </c>
      <c r="AE18" s="16">
        <v>675</v>
      </c>
      <c r="AF18" s="16">
        <v>675</v>
      </c>
      <c r="AG18" s="16">
        <v>675</v>
      </c>
      <c r="AH18" s="16">
        <v>675</v>
      </c>
      <c r="AI18" s="16">
        <v>675</v>
      </c>
      <c r="AJ18" s="16">
        <v>540</v>
      </c>
      <c r="AK18" s="16">
        <v>675</v>
      </c>
      <c r="AL18" s="16">
        <v>675</v>
      </c>
      <c r="AM18" s="16">
        <v>675</v>
      </c>
      <c r="AN18" s="16">
        <v>675</v>
      </c>
      <c r="AO18" s="16">
        <v>675</v>
      </c>
      <c r="AP18" s="16">
        <v>675</v>
      </c>
      <c r="AQ18" s="16">
        <v>675</v>
      </c>
      <c r="AR18" s="16">
        <v>675</v>
      </c>
      <c r="AS18" s="16">
        <v>675</v>
      </c>
      <c r="AT18" s="16">
        <v>675</v>
      </c>
      <c r="AU18" s="16">
        <f t="shared" si="1"/>
        <v>13230</v>
      </c>
    </row>
    <row r="19" spans="1:47" ht="15.5" x14ac:dyDescent="0.35">
      <c r="A19" s="27"/>
      <c r="B19" s="13" t="s">
        <v>33</v>
      </c>
      <c r="C19" s="7" t="s">
        <v>34</v>
      </c>
      <c r="D19" s="7" t="s">
        <v>82</v>
      </c>
      <c r="E19" s="7" t="s">
        <v>84</v>
      </c>
      <c r="F19" s="7">
        <v>3</v>
      </c>
      <c r="G19" s="7">
        <v>3.5</v>
      </c>
      <c r="H19" s="7">
        <v>5</v>
      </c>
      <c r="I19" s="7">
        <v>4</v>
      </c>
      <c r="J19" s="7">
        <v>2.75</v>
      </c>
      <c r="K19" s="7">
        <v>5.75</v>
      </c>
      <c r="L19" s="7">
        <v>4</v>
      </c>
      <c r="M19" s="7">
        <v>3.75</v>
      </c>
      <c r="N19" s="7">
        <v>4.75</v>
      </c>
      <c r="O19" s="7">
        <v>2.75</v>
      </c>
      <c r="P19" s="7">
        <v>3.75</v>
      </c>
      <c r="Q19" s="7">
        <v>4.5</v>
      </c>
      <c r="R19" s="7">
        <v>4.25</v>
      </c>
      <c r="S19" s="7">
        <v>5</v>
      </c>
      <c r="T19" s="7">
        <v>5</v>
      </c>
      <c r="U19" s="7">
        <v>2.75</v>
      </c>
      <c r="V19" s="7">
        <v>2.75</v>
      </c>
      <c r="W19" s="7">
        <v>5</v>
      </c>
      <c r="X19" s="7">
        <v>5</v>
      </c>
      <c r="Y19" s="7">
        <v>4.5</v>
      </c>
      <c r="Z19" s="7">
        <f t="shared" si="0"/>
        <v>4.0875000000000004</v>
      </c>
      <c r="AA19" s="16">
        <v>975</v>
      </c>
      <c r="AB19" s="16">
        <v>975</v>
      </c>
      <c r="AC19" s="16">
        <v>975</v>
      </c>
      <c r="AD19" s="16">
        <v>975</v>
      </c>
      <c r="AE19" s="16">
        <v>975</v>
      </c>
      <c r="AF19" s="16">
        <v>975</v>
      </c>
      <c r="AG19" s="16">
        <v>975</v>
      </c>
      <c r="AH19" s="16">
        <v>975</v>
      </c>
      <c r="AI19" s="16">
        <v>975</v>
      </c>
      <c r="AJ19" s="16">
        <v>975</v>
      </c>
      <c r="AK19" s="16">
        <v>975</v>
      </c>
      <c r="AL19" s="16">
        <v>975</v>
      </c>
      <c r="AM19" s="16">
        <v>975</v>
      </c>
      <c r="AN19" s="16">
        <v>975</v>
      </c>
      <c r="AO19" s="16">
        <v>780</v>
      </c>
      <c r="AP19" s="16">
        <v>975</v>
      </c>
      <c r="AQ19" s="16">
        <v>975</v>
      </c>
      <c r="AR19" s="16">
        <v>975</v>
      </c>
      <c r="AS19" s="16">
        <v>975</v>
      </c>
      <c r="AT19" s="16">
        <v>975</v>
      </c>
      <c r="AU19" s="16">
        <f t="shared" si="1"/>
        <v>19305</v>
      </c>
    </row>
    <row r="20" spans="1:47" ht="15.5" x14ac:dyDescent="0.35">
      <c r="A20" s="27"/>
      <c r="B20" s="13" t="s">
        <v>35</v>
      </c>
      <c r="C20" s="7" t="s">
        <v>36</v>
      </c>
      <c r="D20" s="7" t="s">
        <v>81</v>
      </c>
      <c r="E20" s="7" t="s">
        <v>85</v>
      </c>
      <c r="F20" s="7">
        <v>3.5</v>
      </c>
      <c r="G20" s="7">
        <v>3.75</v>
      </c>
      <c r="H20" s="7">
        <v>4.5</v>
      </c>
      <c r="I20" s="7">
        <v>5.25</v>
      </c>
      <c r="J20" s="7">
        <v>4.75</v>
      </c>
      <c r="K20" s="7">
        <v>5</v>
      </c>
      <c r="L20" s="7">
        <v>5.25</v>
      </c>
      <c r="M20" s="7">
        <v>4.25</v>
      </c>
      <c r="N20" s="7">
        <v>4.5</v>
      </c>
      <c r="O20" s="7">
        <v>6.5</v>
      </c>
      <c r="P20" s="7">
        <v>5.25</v>
      </c>
      <c r="Q20" s="7">
        <v>5.5</v>
      </c>
      <c r="R20" s="7">
        <v>5</v>
      </c>
      <c r="S20" s="7">
        <v>5.25</v>
      </c>
      <c r="T20" s="7">
        <v>4.5</v>
      </c>
      <c r="U20" s="7">
        <v>6</v>
      </c>
      <c r="V20" s="7">
        <v>2.5</v>
      </c>
      <c r="W20" s="7">
        <v>4.25</v>
      </c>
      <c r="X20" s="7">
        <v>4.5</v>
      </c>
      <c r="Y20" s="7">
        <v>6.75</v>
      </c>
      <c r="Z20" s="7">
        <f t="shared" si="0"/>
        <v>4.8375000000000004</v>
      </c>
      <c r="AA20" s="16">
        <v>900</v>
      </c>
      <c r="AB20" s="16">
        <v>900</v>
      </c>
      <c r="AC20" s="16">
        <v>900</v>
      </c>
      <c r="AD20" s="16">
        <v>900</v>
      </c>
      <c r="AE20" s="16">
        <v>900</v>
      </c>
      <c r="AF20" s="16">
        <v>900</v>
      </c>
      <c r="AG20" s="16">
        <v>900</v>
      </c>
      <c r="AH20" s="16">
        <v>900</v>
      </c>
      <c r="AI20" s="16">
        <v>900</v>
      </c>
      <c r="AJ20" s="16">
        <v>900</v>
      </c>
      <c r="AK20" s="16">
        <v>975</v>
      </c>
      <c r="AL20" s="16">
        <v>975</v>
      </c>
      <c r="AM20" s="16">
        <v>975</v>
      </c>
      <c r="AN20" s="16">
        <v>975</v>
      </c>
      <c r="AO20" s="16">
        <v>975</v>
      </c>
      <c r="AP20" s="16">
        <v>975</v>
      </c>
      <c r="AQ20" s="16">
        <v>975</v>
      </c>
      <c r="AR20" s="16">
        <v>975</v>
      </c>
      <c r="AS20" s="16">
        <v>975</v>
      </c>
      <c r="AT20" s="16">
        <v>975</v>
      </c>
      <c r="AU20" s="16">
        <f t="shared" si="1"/>
        <v>18750</v>
      </c>
    </row>
    <row r="21" spans="1:47" ht="15.5" x14ac:dyDescent="0.35">
      <c r="A21" s="27"/>
      <c r="B21" s="13" t="s">
        <v>37</v>
      </c>
      <c r="C21" s="7" t="s">
        <v>38</v>
      </c>
      <c r="D21" s="7" t="s">
        <v>81</v>
      </c>
      <c r="E21" s="7" t="s">
        <v>85</v>
      </c>
      <c r="F21" s="7">
        <v>4</v>
      </c>
      <c r="G21" s="7">
        <v>1.625</v>
      </c>
      <c r="H21" s="7">
        <v>2.6666666666666665</v>
      </c>
      <c r="I21" s="7">
        <v>3.125</v>
      </c>
      <c r="J21" s="7">
        <v>3.625</v>
      </c>
      <c r="K21" s="7">
        <v>4</v>
      </c>
      <c r="L21" s="7">
        <v>5.5</v>
      </c>
      <c r="M21" s="7">
        <v>4.5</v>
      </c>
      <c r="N21" s="7">
        <v>4.5</v>
      </c>
      <c r="O21" s="7">
        <v>3.25</v>
      </c>
      <c r="P21" s="7">
        <v>5.25</v>
      </c>
      <c r="Q21" s="7">
        <v>6</v>
      </c>
      <c r="R21" s="7">
        <v>5.5</v>
      </c>
      <c r="S21" s="7">
        <v>7</v>
      </c>
      <c r="T21" s="7">
        <v>5</v>
      </c>
      <c r="U21" s="7">
        <v>4.5</v>
      </c>
      <c r="V21" s="7">
        <v>5</v>
      </c>
      <c r="W21" s="7">
        <v>4.5</v>
      </c>
      <c r="X21" s="7">
        <v>5.5</v>
      </c>
      <c r="Y21" s="7">
        <v>4.75</v>
      </c>
      <c r="Z21" s="7">
        <f t="shared" si="0"/>
        <v>4.489583333333333</v>
      </c>
      <c r="AA21" s="16">
        <v>1275</v>
      </c>
      <c r="AB21" s="16">
        <v>1275</v>
      </c>
      <c r="AC21" s="16">
        <v>1020</v>
      </c>
      <c r="AD21" s="16">
        <v>1275</v>
      </c>
      <c r="AE21" s="16">
        <v>1275</v>
      </c>
      <c r="AF21" s="16">
        <v>1275</v>
      </c>
      <c r="AG21" s="16">
        <v>1020</v>
      </c>
      <c r="AH21" s="16">
        <v>1275</v>
      </c>
      <c r="AI21" s="16">
        <v>1275</v>
      </c>
      <c r="AJ21" s="16">
        <v>1275</v>
      </c>
      <c r="AK21" s="16">
        <v>1350</v>
      </c>
      <c r="AL21" s="16">
        <v>1350</v>
      </c>
      <c r="AM21" s="16">
        <v>1350</v>
      </c>
      <c r="AN21" s="16">
        <v>1350</v>
      </c>
      <c r="AO21" s="16">
        <v>1350</v>
      </c>
      <c r="AP21" s="16">
        <v>1350</v>
      </c>
      <c r="AQ21" s="16">
        <v>1350</v>
      </c>
      <c r="AR21" s="16">
        <v>1350</v>
      </c>
      <c r="AS21" s="16">
        <v>1350</v>
      </c>
      <c r="AT21" s="16">
        <v>1350</v>
      </c>
      <c r="AU21" s="16">
        <f t="shared" si="1"/>
        <v>25740</v>
      </c>
    </row>
    <row r="22" spans="1:47" ht="15.5" x14ac:dyDescent="0.35">
      <c r="A22" s="27"/>
      <c r="B22" s="13" t="s">
        <v>39</v>
      </c>
      <c r="C22" s="7" t="s">
        <v>40</v>
      </c>
      <c r="D22" s="7" t="s">
        <v>82</v>
      </c>
      <c r="E22" s="7" t="s">
        <v>85</v>
      </c>
      <c r="F22" s="7">
        <v>3.25</v>
      </c>
      <c r="G22" s="7">
        <v>3.5</v>
      </c>
      <c r="H22" s="7">
        <v>4.5</v>
      </c>
      <c r="I22" s="7">
        <v>5.375</v>
      </c>
      <c r="J22" s="7">
        <v>6.25</v>
      </c>
      <c r="K22" s="7">
        <v>7.5</v>
      </c>
      <c r="L22" s="7">
        <v>10</v>
      </c>
      <c r="M22" s="7">
        <v>7.5</v>
      </c>
      <c r="N22" s="7">
        <v>4.25</v>
      </c>
      <c r="O22" s="7">
        <v>3.5</v>
      </c>
      <c r="P22" s="7">
        <v>6</v>
      </c>
      <c r="Q22" s="7">
        <v>8.125</v>
      </c>
      <c r="R22" s="7">
        <v>4.75</v>
      </c>
      <c r="S22" s="7">
        <v>6</v>
      </c>
      <c r="T22" s="7">
        <v>10</v>
      </c>
      <c r="U22" s="7">
        <v>8</v>
      </c>
      <c r="V22" s="7">
        <v>7.75</v>
      </c>
      <c r="W22" s="7">
        <v>6.75</v>
      </c>
      <c r="X22" s="7">
        <v>2.5</v>
      </c>
      <c r="Y22" s="7">
        <v>18.75</v>
      </c>
      <c r="Z22" s="7">
        <f t="shared" si="0"/>
        <v>6.7125000000000004</v>
      </c>
      <c r="AA22" s="16">
        <v>675</v>
      </c>
      <c r="AB22" s="16">
        <v>675</v>
      </c>
      <c r="AC22" s="16">
        <v>675</v>
      </c>
      <c r="AD22" s="16">
        <v>675</v>
      </c>
      <c r="AE22" s="16">
        <v>675</v>
      </c>
      <c r="AF22" s="16">
        <v>675</v>
      </c>
      <c r="AG22" s="16">
        <v>675</v>
      </c>
      <c r="AH22" s="16">
        <v>675</v>
      </c>
      <c r="AI22" s="16">
        <v>675</v>
      </c>
      <c r="AJ22" s="16">
        <v>675</v>
      </c>
      <c r="AK22" s="16">
        <v>825</v>
      </c>
      <c r="AL22" s="16">
        <v>825</v>
      </c>
      <c r="AM22" s="16">
        <v>825</v>
      </c>
      <c r="AN22" s="16">
        <v>825</v>
      </c>
      <c r="AO22" s="16">
        <v>825</v>
      </c>
      <c r="AP22" s="16">
        <v>825</v>
      </c>
      <c r="AQ22" s="16">
        <v>825</v>
      </c>
      <c r="AR22" s="16">
        <v>825</v>
      </c>
      <c r="AS22" s="16">
        <v>825</v>
      </c>
      <c r="AT22" s="16">
        <v>825</v>
      </c>
      <c r="AU22" s="16">
        <f t="shared" si="1"/>
        <v>15000</v>
      </c>
    </row>
    <row r="23" spans="1:47" ht="15.5" x14ac:dyDescent="0.35">
      <c r="A23" s="27"/>
      <c r="B23" s="13" t="s">
        <v>41</v>
      </c>
      <c r="C23" s="7" t="s">
        <v>42</v>
      </c>
      <c r="D23" s="7" t="s">
        <v>81</v>
      </c>
      <c r="E23" s="7" t="s">
        <v>85</v>
      </c>
      <c r="F23" s="7">
        <v>3.625</v>
      </c>
      <c r="G23" s="7">
        <v>2.375</v>
      </c>
      <c r="H23" s="7">
        <v>4.875</v>
      </c>
      <c r="I23" s="7">
        <v>6.5</v>
      </c>
      <c r="J23" s="7">
        <v>8.125</v>
      </c>
      <c r="K23" s="7">
        <v>7.75</v>
      </c>
      <c r="L23" s="7">
        <v>9</v>
      </c>
      <c r="M23" s="7">
        <v>9</v>
      </c>
      <c r="N23" s="7">
        <v>3.75</v>
      </c>
      <c r="O23" s="7">
        <v>9.75</v>
      </c>
      <c r="P23" s="7">
        <v>2.25</v>
      </c>
      <c r="Q23" s="7">
        <v>2.75</v>
      </c>
      <c r="R23" s="7">
        <v>3.75</v>
      </c>
      <c r="S23" s="7">
        <v>4.25</v>
      </c>
      <c r="T23" s="7">
        <v>1.625</v>
      </c>
      <c r="U23" s="7">
        <v>4.25</v>
      </c>
      <c r="V23" s="7">
        <v>2.25</v>
      </c>
      <c r="W23" s="7">
        <v>3.75</v>
      </c>
      <c r="X23" s="7">
        <v>6</v>
      </c>
      <c r="Y23" s="7">
        <v>2</v>
      </c>
      <c r="Z23" s="7">
        <f t="shared" si="0"/>
        <v>4.8812499999999996</v>
      </c>
      <c r="AA23" s="16">
        <v>825</v>
      </c>
      <c r="AB23" s="16">
        <v>825</v>
      </c>
      <c r="AC23" s="16">
        <v>825</v>
      </c>
      <c r="AD23" s="16">
        <v>825</v>
      </c>
      <c r="AE23" s="16">
        <v>825</v>
      </c>
      <c r="AF23" s="16">
        <v>825</v>
      </c>
      <c r="AG23" s="16">
        <v>825</v>
      </c>
      <c r="AH23" s="16">
        <v>825</v>
      </c>
      <c r="AI23" s="16">
        <v>825</v>
      </c>
      <c r="AJ23" s="16">
        <v>825</v>
      </c>
      <c r="AK23" s="16">
        <v>1050</v>
      </c>
      <c r="AL23" s="16">
        <v>1050</v>
      </c>
      <c r="AM23" s="16">
        <v>1050</v>
      </c>
      <c r="AN23" s="16">
        <v>1050</v>
      </c>
      <c r="AO23" s="16">
        <v>1050</v>
      </c>
      <c r="AP23" s="16">
        <v>1050</v>
      </c>
      <c r="AQ23" s="16">
        <v>1050</v>
      </c>
      <c r="AR23" s="16">
        <v>1050</v>
      </c>
      <c r="AS23" s="16">
        <v>1050</v>
      </c>
      <c r="AT23" s="16">
        <v>1050</v>
      </c>
      <c r="AU23" s="16">
        <f t="shared" si="1"/>
        <v>18750</v>
      </c>
    </row>
    <row r="24" spans="1:47" ht="15.5" x14ac:dyDescent="0.35">
      <c r="A24" s="27"/>
      <c r="B24" s="13" t="s">
        <v>43</v>
      </c>
      <c r="C24" s="7" t="s">
        <v>44</v>
      </c>
      <c r="D24" s="7" t="s">
        <v>81</v>
      </c>
      <c r="E24" s="7" t="s">
        <v>84</v>
      </c>
      <c r="F24" s="7">
        <v>3.25</v>
      </c>
      <c r="G24" s="7">
        <v>3.5</v>
      </c>
      <c r="H24" s="7">
        <v>1.75</v>
      </c>
      <c r="I24" s="7">
        <v>1.25</v>
      </c>
      <c r="J24" s="7">
        <v>2.25</v>
      </c>
      <c r="K24" s="7">
        <v>3</v>
      </c>
      <c r="L24" s="7">
        <v>5.5</v>
      </c>
      <c r="M24" s="7">
        <v>7</v>
      </c>
      <c r="N24" s="7">
        <v>6.5</v>
      </c>
      <c r="O24" s="7">
        <v>6.5</v>
      </c>
      <c r="P24" s="7">
        <v>6</v>
      </c>
      <c r="Q24" s="7">
        <v>4.75</v>
      </c>
      <c r="R24" s="7">
        <v>5</v>
      </c>
      <c r="S24" s="7">
        <v>5</v>
      </c>
      <c r="T24" s="7">
        <v>5</v>
      </c>
      <c r="U24" s="7">
        <v>6.5</v>
      </c>
      <c r="V24" s="7">
        <v>4</v>
      </c>
      <c r="W24" s="7">
        <v>4.5</v>
      </c>
      <c r="X24" s="7">
        <v>4.5</v>
      </c>
      <c r="Y24" s="7">
        <v>4.5</v>
      </c>
      <c r="Z24" s="7">
        <f t="shared" si="0"/>
        <v>4.5125000000000002</v>
      </c>
      <c r="AA24" s="16">
        <v>900</v>
      </c>
      <c r="AB24" s="16">
        <v>900</v>
      </c>
      <c r="AC24" s="16">
        <v>900</v>
      </c>
      <c r="AD24" s="16">
        <v>900</v>
      </c>
      <c r="AE24" s="16">
        <v>900</v>
      </c>
      <c r="AF24" s="16">
        <v>900</v>
      </c>
      <c r="AG24" s="16">
        <v>900</v>
      </c>
      <c r="AH24" s="16">
        <v>900</v>
      </c>
      <c r="AI24" s="16">
        <v>900</v>
      </c>
      <c r="AJ24" s="16">
        <v>900</v>
      </c>
      <c r="AK24" s="16">
        <v>975</v>
      </c>
      <c r="AL24" s="16">
        <v>975</v>
      </c>
      <c r="AM24" s="16">
        <v>975</v>
      </c>
      <c r="AN24" s="16">
        <v>975</v>
      </c>
      <c r="AO24" s="16">
        <v>975</v>
      </c>
      <c r="AP24" s="16">
        <v>975</v>
      </c>
      <c r="AQ24" s="16">
        <v>975</v>
      </c>
      <c r="AR24" s="16">
        <v>975</v>
      </c>
      <c r="AS24" s="16">
        <v>975</v>
      </c>
      <c r="AT24" s="16">
        <v>975</v>
      </c>
      <c r="AU24" s="16">
        <f t="shared" si="1"/>
        <v>18750</v>
      </c>
    </row>
    <row r="25" spans="1:47" ht="15.5" x14ac:dyDescent="0.35">
      <c r="A25" s="27"/>
      <c r="B25" s="13" t="s">
        <v>45</v>
      </c>
      <c r="C25" s="7" t="s">
        <v>46</v>
      </c>
      <c r="D25" s="7" t="s">
        <v>82</v>
      </c>
      <c r="E25" s="7" t="s">
        <v>85</v>
      </c>
      <c r="F25" s="7">
        <v>1.5</v>
      </c>
      <c r="G25" s="7">
        <v>1.75</v>
      </c>
      <c r="H25" s="7">
        <v>2.25</v>
      </c>
      <c r="I25" s="7">
        <v>3</v>
      </c>
      <c r="J25" s="7">
        <v>3.625</v>
      </c>
      <c r="K25" s="7">
        <v>2.875</v>
      </c>
      <c r="L25" s="7">
        <v>5.25</v>
      </c>
      <c r="M25" s="7">
        <v>6.25</v>
      </c>
      <c r="N25" s="7">
        <v>5.75</v>
      </c>
      <c r="O25" s="7">
        <v>7.75</v>
      </c>
      <c r="P25" s="7">
        <v>7.5</v>
      </c>
      <c r="Q25" s="7">
        <v>7</v>
      </c>
      <c r="R25" s="7">
        <v>12.5</v>
      </c>
      <c r="S25" s="7">
        <v>7</v>
      </c>
      <c r="T25" s="7">
        <v>8</v>
      </c>
      <c r="U25" s="7">
        <v>8.5</v>
      </c>
      <c r="V25" s="7">
        <v>7.75</v>
      </c>
      <c r="W25" s="7">
        <v>8</v>
      </c>
      <c r="X25" s="7">
        <v>7.25</v>
      </c>
      <c r="Y25" s="7">
        <v>8</v>
      </c>
      <c r="Z25" s="7">
        <f t="shared" si="0"/>
        <v>6.0750000000000002</v>
      </c>
      <c r="AA25" s="16">
        <v>1065</v>
      </c>
      <c r="AB25" s="16">
        <v>1125</v>
      </c>
      <c r="AC25" s="16">
        <v>1125</v>
      </c>
      <c r="AD25" s="16">
        <v>1125</v>
      </c>
      <c r="AE25" s="16">
        <v>1125</v>
      </c>
      <c r="AF25" s="16">
        <v>1125</v>
      </c>
      <c r="AG25" s="16">
        <v>1125</v>
      </c>
      <c r="AH25" s="16">
        <v>1125</v>
      </c>
      <c r="AI25" s="16">
        <v>1125</v>
      </c>
      <c r="AJ25" s="16">
        <v>1125</v>
      </c>
      <c r="AK25" s="16">
        <v>1200</v>
      </c>
      <c r="AL25" s="16">
        <v>1200</v>
      </c>
      <c r="AM25" s="16">
        <v>1200</v>
      </c>
      <c r="AN25" s="16">
        <v>1200</v>
      </c>
      <c r="AO25" s="16">
        <v>1200</v>
      </c>
      <c r="AP25" s="16">
        <v>1200</v>
      </c>
      <c r="AQ25" s="16">
        <v>1200</v>
      </c>
      <c r="AR25" s="16">
        <v>1200</v>
      </c>
      <c r="AS25" s="16">
        <v>1200</v>
      </c>
      <c r="AT25" s="16">
        <v>1200</v>
      </c>
      <c r="AU25" s="16">
        <f t="shared" si="1"/>
        <v>23190</v>
      </c>
    </row>
    <row r="26" spans="1:47" ht="15.5" x14ac:dyDescent="0.35">
      <c r="A26" s="27"/>
      <c r="B26" s="13" t="s">
        <v>47</v>
      </c>
      <c r="C26" s="7" t="s">
        <v>48</v>
      </c>
      <c r="D26" s="7" t="s">
        <v>81</v>
      </c>
      <c r="E26" s="7" t="s">
        <v>84</v>
      </c>
      <c r="F26" s="7">
        <v>0.25</v>
      </c>
      <c r="G26" s="7">
        <v>0.25</v>
      </c>
      <c r="H26" s="7">
        <v>0.75</v>
      </c>
      <c r="I26" s="7">
        <v>0.5</v>
      </c>
      <c r="J26" s="7">
        <v>0.5</v>
      </c>
      <c r="K26" s="7">
        <v>0.5</v>
      </c>
      <c r="L26" s="7">
        <v>0.5</v>
      </c>
      <c r="M26" s="7">
        <v>0.5</v>
      </c>
      <c r="N26" s="7">
        <v>0.5</v>
      </c>
      <c r="O26" s="7">
        <v>0.5</v>
      </c>
      <c r="P26" s="7">
        <v>0.5</v>
      </c>
      <c r="Q26" s="7">
        <v>0.75</v>
      </c>
      <c r="R26" s="7">
        <v>0.75</v>
      </c>
      <c r="S26" s="7">
        <v>0.75</v>
      </c>
      <c r="T26" s="7">
        <v>0.5</v>
      </c>
      <c r="U26" s="7">
        <v>0.75</v>
      </c>
      <c r="V26" s="7">
        <v>0.5</v>
      </c>
      <c r="W26" s="7">
        <v>0.5</v>
      </c>
      <c r="X26" s="7">
        <v>0.5</v>
      </c>
      <c r="Y26" s="7">
        <v>0.5</v>
      </c>
      <c r="Z26" s="7">
        <f t="shared" si="0"/>
        <v>0.53749999999999998</v>
      </c>
      <c r="AA26" s="16">
        <v>858</v>
      </c>
      <c r="AB26" s="16">
        <v>975</v>
      </c>
      <c r="AC26" s="16">
        <v>884</v>
      </c>
      <c r="AD26" s="16">
        <v>975</v>
      </c>
      <c r="AE26" s="16">
        <v>975</v>
      </c>
      <c r="AF26" s="16">
        <v>975</v>
      </c>
      <c r="AG26" s="16">
        <v>975</v>
      </c>
      <c r="AH26" s="16">
        <v>975</v>
      </c>
      <c r="AI26" s="16">
        <v>975</v>
      </c>
      <c r="AJ26" s="16">
        <v>975</v>
      </c>
      <c r="AK26" s="16">
        <v>975</v>
      </c>
      <c r="AL26" s="16">
        <v>975</v>
      </c>
      <c r="AM26" s="16">
        <v>975</v>
      </c>
      <c r="AN26" s="16">
        <v>975</v>
      </c>
      <c r="AO26" s="16">
        <v>975</v>
      </c>
      <c r="AP26" s="16">
        <v>975</v>
      </c>
      <c r="AQ26" s="16">
        <v>975</v>
      </c>
      <c r="AR26" s="16">
        <v>975</v>
      </c>
      <c r="AS26" s="16">
        <v>975</v>
      </c>
      <c r="AT26" s="16">
        <v>975</v>
      </c>
      <c r="AU26" s="16">
        <f t="shared" si="1"/>
        <v>19292</v>
      </c>
    </row>
    <row r="27" spans="1:47" ht="15.5" x14ac:dyDescent="0.35">
      <c r="A27" s="27"/>
      <c r="B27" s="13" t="s">
        <v>49</v>
      </c>
      <c r="C27" s="7" t="s">
        <v>50</v>
      </c>
      <c r="D27" s="7" t="s">
        <v>82</v>
      </c>
      <c r="E27" s="7" t="s">
        <v>85</v>
      </c>
      <c r="F27" s="7">
        <v>1.75</v>
      </c>
      <c r="G27" s="7">
        <v>2</v>
      </c>
      <c r="H27" s="7">
        <v>2</v>
      </c>
      <c r="I27" s="7">
        <v>2.75</v>
      </c>
      <c r="J27" s="7">
        <v>3.25</v>
      </c>
      <c r="K27" s="7">
        <v>2</v>
      </c>
      <c r="L27" s="7">
        <v>2.5</v>
      </c>
      <c r="M27" s="7">
        <v>3.5</v>
      </c>
      <c r="N27" s="7">
        <v>4.25</v>
      </c>
      <c r="O27" s="7">
        <v>5.75</v>
      </c>
      <c r="P27" s="7">
        <v>8</v>
      </c>
      <c r="Q27" s="7">
        <v>2.25</v>
      </c>
      <c r="R27" s="7">
        <v>6.5</v>
      </c>
      <c r="S27" s="7">
        <v>8.5</v>
      </c>
      <c r="T27" s="7">
        <v>9.75</v>
      </c>
      <c r="U27" s="7">
        <v>5.5</v>
      </c>
      <c r="V27" s="7">
        <v>7</v>
      </c>
      <c r="W27" s="7">
        <v>6.25</v>
      </c>
      <c r="X27" s="7">
        <v>6.25</v>
      </c>
      <c r="Y27" s="7">
        <v>7</v>
      </c>
      <c r="Z27" s="7">
        <f t="shared" si="0"/>
        <v>4.8375000000000004</v>
      </c>
      <c r="AA27" s="16">
        <v>600</v>
      </c>
      <c r="AB27" s="16">
        <v>600</v>
      </c>
      <c r="AC27" s="16">
        <v>600</v>
      </c>
      <c r="AD27" s="16">
        <v>600</v>
      </c>
      <c r="AE27" s="16">
        <v>600</v>
      </c>
      <c r="AF27" s="16">
        <v>600</v>
      </c>
      <c r="AG27" s="16">
        <v>600</v>
      </c>
      <c r="AH27" s="16">
        <v>600</v>
      </c>
      <c r="AI27" s="16">
        <v>600</v>
      </c>
      <c r="AJ27" s="16">
        <v>600</v>
      </c>
      <c r="AK27" s="16">
        <v>600</v>
      </c>
      <c r="AL27" s="16">
        <v>600</v>
      </c>
      <c r="AM27" s="16">
        <v>600</v>
      </c>
      <c r="AN27" s="16">
        <v>600</v>
      </c>
      <c r="AO27" s="16">
        <v>600</v>
      </c>
      <c r="AP27" s="16">
        <v>600</v>
      </c>
      <c r="AQ27" s="16">
        <v>600</v>
      </c>
      <c r="AR27" s="16">
        <v>600</v>
      </c>
      <c r="AS27" s="16">
        <v>600</v>
      </c>
      <c r="AT27" s="16">
        <v>600</v>
      </c>
      <c r="AU27" s="16">
        <f t="shared" si="1"/>
        <v>12000</v>
      </c>
    </row>
    <row r="28" spans="1:47" ht="15.5" x14ac:dyDescent="0.35">
      <c r="A28" s="27"/>
      <c r="B28" s="13" t="s">
        <v>51</v>
      </c>
      <c r="C28" s="7" t="s">
        <v>52</v>
      </c>
      <c r="D28" s="7" t="s">
        <v>82</v>
      </c>
      <c r="E28" s="7" t="s">
        <v>85</v>
      </c>
      <c r="F28" s="7">
        <v>1.25</v>
      </c>
      <c r="G28" s="7">
        <v>2.25</v>
      </c>
      <c r="H28" s="7">
        <v>3.375</v>
      </c>
      <c r="I28" s="7">
        <v>2.5</v>
      </c>
      <c r="J28" s="7">
        <v>1.875</v>
      </c>
      <c r="K28" s="7">
        <v>3.625</v>
      </c>
      <c r="L28" s="7">
        <v>2.75</v>
      </c>
      <c r="M28" s="7">
        <v>3.75</v>
      </c>
      <c r="N28" s="7">
        <v>2.75</v>
      </c>
      <c r="O28" s="7">
        <v>2.75</v>
      </c>
      <c r="P28" s="7">
        <v>3.25</v>
      </c>
      <c r="Q28" s="7">
        <v>3.75</v>
      </c>
      <c r="R28" s="7">
        <v>6.25</v>
      </c>
      <c r="S28" s="7">
        <v>5.75</v>
      </c>
      <c r="T28" s="7">
        <v>7</v>
      </c>
      <c r="U28" s="7">
        <v>7</v>
      </c>
      <c r="V28" s="7">
        <v>6.5</v>
      </c>
      <c r="W28" s="7">
        <v>5.25</v>
      </c>
      <c r="X28" s="7">
        <v>4.875</v>
      </c>
      <c r="Y28" s="7">
        <v>5.125</v>
      </c>
      <c r="Z28" s="7">
        <f t="shared" si="0"/>
        <v>4.0812499999999998</v>
      </c>
      <c r="AA28" s="16">
        <v>1050</v>
      </c>
      <c r="AB28" s="16">
        <v>1050</v>
      </c>
      <c r="AC28" s="16">
        <v>1050</v>
      </c>
      <c r="AD28" s="16">
        <v>1050</v>
      </c>
      <c r="AE28" s="16">
        <v>1050</v>
      </c>
      <c r="AF28" s="16">
        <v>1050</v>
      </c>
      <c r="AG28" s="16">
        <v>1050</v>
      </c>
      <c r="AH28" s="16">
        <v>1050</v>
      </c>
      <c r="AI28" s="16">
        <v>1050</v>
      </c>
      <c r="AJ28" s="16">
        <v>1050</v>
      </c>
      <c r="AK28" s="16">
        <v>1050</v>
      </c>
      <c r="AL28" s="16">
        <v>1050</v>
      </c>
      <c r="AM28" s="16">
        <v>1050</v>
      </c>
      <c r="AN28" s="16">
        <v>1050</v>
      </c>
      <c r="AO28" s="16">
        <v>1050</v>
      </c>
      <c r="AP28" s="16">
        <v>1050</v>
      </c>
      <c r="AQ28" s="16">
        <v>1050</v>
      </c>
      <c r="AR28" s="16">
        <v>1050</v>
      </c>
      <c r="AS28" s="16">
        <v>1050</v>
      </c>
      <c r="AT28" s="16">
        <v>1050</v>
      </c>
      <c r="AU28" s="16">
        <f t="shared" si="1"/>
        <v>21000</v>
      </c>
    </row>
    <row r="29" spans="1:47" ht="15.5" x14ac:dyDescent="0.35">
      <c r="A29" s="27"/>
      <c r="B29" s="13" t="s">
        <v>53</v>
      </c>
      <c r="C29" s="7" t="s">
        <v>54</v>
      </c>
      <c r="D29" s="7" t="s">
        <v>82</v>
      </c>
      <c r="E29" s="7" t="s">
        <v>84</v>
      </c>
      <c r="F29" s="7">
        <v>4.5</v>
      </c>
      <c r="G29" s="7">
        <v>6</v>
      </c>
      <c r="H29" s="7">
        <v>3.5</v>
      </c>
      <c r="I29" s="7">
        <v>3.75</v>
      </c>
      <c r="J29" s="7">
        <v>6.25</v>
      </c>
      <c r="K29" s="7">
        <v>1.25</v>
      </c>
      <c r="L29" s="7">
        <v>1.25</v>
      </c>
      <c r="M29" s="7">
        <v>4.25</v>
      </c>
      <c r="N29" s="7">
        <v>4.5</v>
      </c>
      <c r="O29" s="7">
        <v>3.75</v>
      </c>
      <c r="P29" s="7">
        <v>6</v>
      </c>
      <c r="Q29" s="7">
        <v>4</v>
      </c>
      <c r="R29" s="7">
        <v>7</v>
      </c>
      <c r="S29" s="7">
        <v>4.25</v>
      </c>
      <c r="T29" s="7">
        <v>4.5</v>
      </c>
      <c r="U29" s="7">
        <v>2.5</v>
      </c>
      <c r="V29" s="7">
        <v>6.25</v>
      </c>
      <c r="W29" s="7">
        <v>6.5</v>
      </c>
      <c r="X29" s="7">
        <v>5.5</v>
      </c>
      <c r="Y29" s="7">
        <v>6.75</v>
      </c>
      <c r="Z29" s="7">
        <f t="shared" si="0"/>
        <v>4.6124999999999998</v>
      </c>
      <c r="AA29" s="16">
        <v>675</v>
      </c>
      <c r="AB29" s="16">
        <v>675</v>
      </c>
      <c r="AC29" s="16">
        <v>675</v>
      </c>
      <c r="AD29" s="16">
        <v>675</v>
      </c>
      <c r="AE29" s="16">
        <v>675</v>
      </c>
      <c r="AF29" s="16">
        <v>675</v>
      </c>
      <c r="AG29" s="16">
        <v>675</v>
      </c>
      <c r="AH29" s="16">
        <v>675</v>
      </c>
      <c r="AI29" s="16">
        <v>675</v>
      </c>
      <c r="AJ29" s="16">
        <v>675</v>
      </c>
      <c r="AK29" s="16">
        <v>675</v>
      </c>
      <c r="AL29" s="16">
        <v>675</v>
      </c>
      <c r="AM29" s="16">
        <v>675</v>
      </c>
      <c r="AN29" s="16">
        <v>675</v>
      </c>
      <c r="AO29" s="16">
        <v>675</v>
      </c>
      <c r="AP29" s="16">
        <v>675</v>
      </c>
      <c r="AQ29" s="16">
        <v>675</v>
      </c>
      <c r="AR29" s="16">
        <v>675</v>
      </c>
      <c r="AS29" s="16">
        <v>675</v>
      </c>
      <c r="AT29" s="16">
        <v>675</v>
      </c>
      <c r="AU29" s="16">
        <f t="shared" si="1"/>
        <v>13500</v>
      </c>
    </row>
    <row r="30" spans="1:47" ht="15.5" x14ac:dyDescent="0.35">
      <c r="A30" s="27"/>
      <c r="B30" s="13" t="s">
        <v>55</v>
      </c>
      <c r="C30" s="7" t="s">
        <v>56</v>
      </c>
      <c r="D30" s="7" t="s">
        <v>81</v>
      </c>
      <c r="E30" s="7" t="s">
        <v>84</v>
      </c>
      <c r="F30" s="7">
        <v>0.25</v>
      </c>
      <c r="G30" s="7">
        <v>0.25</v>
      </c>
      <c r="H30" s="7">
        <v>0</v>
      </c>
      <c r="I30" s="7">
        <v>0</v>
      </c>
      <c r="J30" s="7">
        <v>0</v>
      </c>
      <c r="K30" s="7">
        <v>0</v>
      </c>
      <c r="L30" s="7">
        <v>0.5</v>
      </c>
      <c r="M30" s="7">
        <v>0.75</v>
      </c>
      <c r="N30" s="7">
        <v>0</v>
      </c>
      <c r="O30" s="7">
        <v>0.25</v>
      </c>
      <c r="P30" s="7">
        <v>0</v>
      </c>
      <c r="Q30" s="7">
        <v>0.75</v>
      </c>
      <c r="R30" s="7">
        <v>0.75</v>
      </c>
      <c r="S30" s="7">
        <v>0.5</v>
      </c>
      <c r="T30" s="7">
        <v>0</v>
      </c>
      <c r="U30" s="7">
        <v>0</v>
      </c>
      <c r="V30" s="7">
        <v>0.5</v>
      </c>
      <c r="W30" s="7">
        <v>0</v>
      </c>
      <c r="X30" s="7">
        <v>0.5</v>
      </c>
      <c r="Y30" s="7">
        <v>0.75</v>
      </c>
      <c r="Z30" s="7">
        <f t="shared" si="0"/>
        <v>0.28749999999999998</v>
      </c>
      <c r="AA30" s="16">
        <v>544</v>
      </c>
      <c r="AB30" s="16">
        <v>560</v>
      </c>
      <c r="AC30" s="16">
        <v>600</v>
      </c>
      <c r="AD30" s="16">
        <v>584</v>
      </c>
      <c r="AE30" s="16">
        <v>600</v>
      </c>
      <c r="AF30" s="16">
        <v>584</v>
      </c>
      <c r="AG30" s="16">
        <v>600</v>
      </c>
      <c r="AH30" s="16">
        <v>600</v>
      </c>
      <c r="AI30" s="16">
        <v>600</v>
      </c>
      <c r="AJ30" s="16">
        <v>600</v>
      </c>
      <c r="AK30" s="16">
        <v>600</v>
      </c>
      <c r="AL30" s="16">
        <v>600</v>
      </c>
      <c r="AM30" s="16">
        <v>600</v>
      </c>
      <c r="AN30" s="16">
        <v>600</v>
      </c>
      <c r="AO30" s="16">
        <v>568</v>
      </c>
      <c r="AP30" s="16">
        <v>560</v>
      </c>
      <c r="AQ30" s="16">
        <v>600</v>
      </c>
      <c r="AR30" s="16">
        <v>600</v>
      </c>
      <c r="AS30" s="16">
        <v>600</v>
      </c>
      <c r="AT30" s="16">
        <v>600</v>
      </c>
      <c r="AU30" s="16">
        <f t="shared" si="1"/>
        <v>11800</v>
      </c>
    </row>
    <row r="31" spans="1:47" ht="15.5" x14ac:dyDescent="0.35">
      <c r="A31" s="27"/>
      <c r="B31" s="13" t="s">
        <v>57</v>
      </c>
      <c r="C31" s="7" t="s">
        <v>58</v>
      </c>
      <c r="D31" s="7" t="s">
        <v>81</v>
      </c>
      <c r="E31" s="7" t="s">
        <v>85</v>
      </c>
      <c r="F31" s="7">
        <v>1.75</v>
      </c>
      <c r="G31" s="7">
        <v>1</v>
      </c>
      <c r="H31" s="7">
        <v>2.25</v>
      </c>
      <c r="I31" s="7">
        <v>2.625</v>
      </c>
      <c r="J31" s="7">
        <v>3</v>
      </c>
      <c r="K31" s="7">
        <v>3.5</v>
      </c>
      <c r="L31" s="7">
        <v>3.75</v>
      </c>
      <c r="M31" s="7">
        <v>3.5</v>
      </c>
      <c r="N31" s="7">
        <v>3.25</v>
      </c>
      <c r="O31" s="7">
        <v>5.25</v>
      </c>
      <c r="P31" s="7">
        <v>3</v>
      </c>
      <c r="Q31" s="7">
        <v>3</v>
      </c>
      <c r="R31" s="7">
        <v>3.25</v>
      </c>
      <c r="S31" s="7">
        <v>4</v>
      </c>
      <c r="T31" s="7">
        <v>3</v>
      </c>
      <c r="U31" s="7">
        <v>4.5</v>
      </c>
      <c r="V31" s="7">
        <v>3.75</v>
      </c>
      <c r="W31" s="7">
        <v>2.75</v>
      </c>
      <c r="X31" s="7">
        <v>4.5</v>
      </c>
      <c r="Y31" s="7">
        <v>3.25</v>
      </c>
      <c r="Z31" s="7">
        <f t="shared" si="0"/>
        <v>3.2437499999999999</v>
      </c>
      <c r="AA31" s="16">
        <v>1125</v>
      </c>
      <c r="AB31" s="16">
        <v>1125</v>
      </c>
      <c r="AC31" s="16">
        <v>1125</v>
      </c>
      <c r="AD31" s="16">
        <v>1125</v>
      </c>
      <c r="AE31" s="16">
        <v>1125</v>
      </c>
      <c r="AF31" s="16">
        <v>1125</v>
      </c>
      <c r="AG31" s="16">
        <v>1125</v>
      </c>
      <c r="AH31" s="16">
        <v>1125</v>
      </c>
      <c r="AI31" s="16">
        <v>1125</v>
      </c>
      <c r="AJ31" s="16">
        <v>1125</v>
      </c>
      <c r="AK31" s="16">
        <v>1200</v>
      </c>
      <c r="AL31" s="16">
        <v>1200</v>
      </c>
      <c r="AM31" s="16">
        <v>1200</v>
      </c>
      <c r="AN31" s="16">
        <v>1200</v>
      </c>
      <c r="AO31" s="16">
        <v>1200</v>
      </c>
      <c r="AP31" s="16">
        <v>1200</v>
      </c>
      <c r="AQ31" s="16">
        <v>1200</v>
      </c>
      <c r="AR31" s="16">
        <v>1200</v>
      </c>
      <c r="AS31" s="16">
        <v>1200</v>
      </c>
      <c r="AT31" s="16">
        <v>1200</v>
      </c>
      <c r="AU31" s="16">
        <f t="shared" si="1"/>
        <v>23250</v>
      </c>
    </row>
    <row r="32" spans="1:47" ht="15.5" x14ac:dyDescent="0.35">
      <c r="A32" s="27"/>
      <c r="B32" s="13" t="s">
        <v>59</v>
      </c>
      <c r="C32" s="7" t="s">
        <v>60</v>
      </c>
      <c r="D32" s="7" t="s">
        <v>81</v>
      </c>
      <c r="E32" s="7" t="s">
        <v>85</v>
      </c>
      <c r="F32" s="7">
        <v>4.75</v>
      </c>
      <c r="G32" s="7">
        <v>2.625</v>
      </c>
      <c r="H32" s="7">
        <v>5.25</v>
      </c>
      <c r="I32" s="7">
        <v>2.5</v>
      </c>
      <c r="J32" s="7">
        <v>4.75</v>
      </c>
      <c r="K32" s="7">
        <v>2</v>
      </c>
      <c r="L32" s="7">
        <v>1.25</v>
      </c>
      <c r="M32" s="7">
        <v>5.25</v>
      </c>
      <c r="N32" s="7">
        <v>3.75</v>
      </c>
      <c r="O32" s="7">
        <v>4</v>
      </c>
      <c r="P32" s="7">
        <v>1.25</v>
      </c>
      <c r="Q32" s="7">
        <v>4.25</v>
      </c>
      <c r="R32" s="7">
        <v>2</v>
      </c>
      <c r="S32" s="7">
        <v>3.25</v>
      </c>
      <c r="T32" s="7">
        <v>4</v>
      </c>
      <c r="U32" s="7">
        <v>2.75</v>
      </c>
      <c r="V32" s="7">
        <v>3.75</v>
      </c>
      <c r="W32" s="7">
        <v>2.75</v>
      </c>
      <c r="X32" s="7">
        <v>2.75</v>
      </c>
      <c r="Y32" s="7">
        <v>2.5</v>
      </c>
      <c r="Z32" s="7">
        <f t="shared" si="0"/>
        <v>3.2687499999999998</v>
      </c>
      <c r="AA32" s="16">
        <v>675</v>
      </c>
      <c r="AB32" s="16">
        <v>675</v>
      </c>
      <c r="AC32" s="16">
        <v>675</v>
      </c>
      <c r="AD32" s="16">
        <v>675</v>
      </c>
      <c r="AE32" s="16">
        <v>675</v>
      </c>
      <c r="AF32" s="16">
        <v>675</v>
      </c>
      <c r="AG32" s="16">
        <v>675</v>
      </c>
      <c r="AH32" s="16">
        <v>675</v>
      </c>
      <c r="AI32" s="16">
        <v>675</v>
      </c>
      <c r="AJ32" s="16">
        <v>675</v>
      </c>
      <c r="AK32" s="16">
        <v>750</v>
      </c>
      <c r="AL32" s="16">
        <v>750</v>
      </c>
      <c r="AM32" s="16">
        <v>750</v>
      </c>
      <c r="AN32" s="16">
        <v>750</v>
      </c>
      <c r="AO32" s="16">
        <v>750</v>
      </c>
      <c r="AP32" s="16">
        <v>750</v>
      </c>
      <c r="AQ32" s="16">
        <v>750</v>
      </c>
      <c r="AR32" s="16">
        <v>750</v>
      </c>
      <c r="AS32" s="16">
        <v>750</v>
      </c>
      <c r="AT32" s="16">
        <v>750</v>
      </c>
      <c r="AU32" s="16">
        <f t="shared" si="1"/>
        <v>14250</v>
      </c>
    </row>
    <row r="33" spans="1:47" ht="15.5" x14ac:dyDescent="0.35">
      <c r="A33" s="27"/>
      <c r="B33" s="13" t="s">
        <v>61</v>
      </c>
      <c r="C33" s="7" t="s">
        <v>62</v>
      </c>
      <c r="D33" s="7" t="s">
        <v>81</v>
      </c>
      <c r="E33" s="7" t="s">
        <v>85</v>
      </c>
      <c r="F33" s="7">
        <v>5.5</v>
      </c>
      <c r="G33" s="7">
        <v>3.5</v>
      </c>
      <c r="H33" s="7">
        <v>5</v>
      </c>
      <c r="I33" s="7">
        <v>4</v>
      </c>
      <c r="J33" s="7">
        <v>3</v>
      </c>
      <c r="K33" s="7">
        <v>2.5</v>
      </c>
      <c r="L33" s="7">
        <v>3.75</v>
      </c>
      <c r="M33" s="7">
        <v>3.25</v>
      </c>
      <c r="N33" s="7">
        <v>4</v>
      </c>
      <c r="O33" s="7">
        <v>4.75</v>
      </c>
      <c r="P33" s="7">
        <v>5.5</v>
      </c>
      <c r="Q33" s="7">
        <v>4.5</v>
      </c>
      <c r="R33" s="7">
        <v>5</v>
      </c>
      <c r="S33" s="7">
        <v>3.5</v>
      </c>
      <c r="T33" s="7">
        <v>3.5</v>
      </c>
      <c r="U33" s="7">
        <v>4</v>
      </c>
      <c r="V33" s="7">
        <v>4</v>
      </c>
      <c r="W33" s="7">
        <v>3.75</v>
      </c>
      <c r="X33" s="7">
        <v>3</v>
      </c>
      <c r="Y33" s="7">
        <v>5</v>
      </c>
      <c r="Z33" s="7">
        <f t="shared" si="0"/>
        <v>4.05</v>
      </c>
      <c r="AA33" s="16">
        <v>975</v>
      </c>
      <c r="AB33" s="16">
        <v>975</v>
      </c>
      <c r="AC33" s="16">
        <v>975</v>
      </c>
      <c r="AD33" s="16">
        <v>975</v>
      </c>
      <c r="AE33" s="16">
        <v>975</v>
      </c>
      <c r="AF33" s="16">
        <v>975</v>
      </c>
      <c r="AG33" s="16">
        <v>975</v>
      </c>
      <c r="AH33" s="16">
        <v>975</v>
      </c>
      <c r="AI33" s="16">
        <v>975</v>
      </c>
      <c r="AJ33" s="16">
        <v>975</v>
      </c>
      <c r="AK33" s="16">
        <v>975</v>
      </c>
      <c r="AL33" s="16">
        <v>975</v>
      </c>
      <c r="AM33" s="16">
        <v>975</v>
      </c>
      <c r="AN33" s="16">
        <v>975</v>
      </c>
      <c r="AO33" s="16">
        <v>975</v>
      </c>
      <c r="AP33" s="16">
        <v>975</v>
      </c>
      <c r="AQ33" s="16">
        <v>975</v>
      </c>
      <c r="AR33" s="16">
        <v>975</v>
      </c>
      <c r="AS33" s="16">
        <v>975</v>
      </c>
      <c r="AT33" s="16">
        <v>975</v>
      </c>
      <c r="AU33" s="16">
        <f t="shared" si="1"/>
        <v>19500</v>
      </c>
    </row>
    <row r="34" spans="1:47" ht="15.5" x14ac:dyDescent="0.35">
      <c r="A34" s="27"/>
      <c r="B34" s="13" t="s">
        <v>63</v>
      </c>
      <c r="C34" s="7" t="s">
        <v>64</v>
      </c>
      <c r="D34" s="7" t="s">
        <v>81</v>
      </c>
      <c r="E34" s="7" t="s">
        <v>85</v>
      </c>
      <c r="F34" s="7">
        <v>4</v>
      </c>
      <c r="G34" s="7">
        <v>3</v>
      </c>
      <c r="H34" s="7">
        <v>4.125</v>
      </c>
      <c r="I34" s="7">
        <v>2.75</v>
      </c>
      <c r="J34" s="7">
        <v>3</v>
      </c>
      <c r="K34" s="7">
        <v>4.5</v>
      </c>
      <c r="L34" s="7">
        <v>4</v>
      </c>
      <c r="M34" s="7">
        <v>3.5</v>
      </c>
      <c r="N34" s="7">
        <v>4.5</v>
      </c>
      <c r="O34" s="7">
        <v>3.75</v>
      </c>
      <c r="P34" s="7">
        <v>5</v>
      </c>
      <c r="Q34" s="7">
        <v>5.75</v>
      </c>
      <c r="R34" s="7">
        <v>5</v>
      </c>
      <c r="S34" s="7">
        <v>4.5</v>
      </c>
      <c r="T34" s="7">
        <v>5.5</v>
      </c>
      <c r="U34" s="7">
        <v>6</v>
      </c>
      <c r="V34" s="7">
        <v>5.25</v>
      </c>
      <c r="W34" s="7">
        <v>6</v>
      </c>
      <c r="X34" s="7">
        <v>4.25</v>
      </c>
      <c r="Y34" s="7">
        <v>4</v>
      </c>
      <c r="Z34" s="7">
        <f t="shared" si="0"/>
        <v>4.4187500000000002</v>
      </c>
      <c r="AA34" s="16">
        <v>1200</v>
      </c>
      <c r="AB34" s="16">
        <v>1200</v>
      </c>
      <c r="AC34" s="16">
        <v>1200</v>
      </c>
      <c r="AD34" s="16">
        <v>1200</v>
      </c>
      <c r="AE34" s="16">
        <v>1200</v>
      </c>
      <c r="AF34" s="16">
        <v>1200</v>
      </c>
      <c r="AG34" s="16">
        <v>1200</v>
      </c>
      <c r="AH34" s="16">
        <v>1200</v>
      </c>
      <c r="AI34" s="16">
        <v>1200</v>
      </c>
      <c r="AJ34" s="16">
        <v>1200</v>
      </c>
      <c r="AK34" s="16">
        <v>1425</v>
      </c>
      <c r="AL34" s="16">
        <v>1425</v>
      </c>
      <c r="AM34" s="16">
        <v>1425</v>
      </c>
      <c r="AN34" s="16">
        <v>1425</v>
      </c>
      <c r="AO34" s="16">
        <v>1425</v>
      </c>
      <c r="AP34" s="16">
        <v>1425</v>
      </c>
      <c r="AQ34" s="16">
        <v>1425</v>
      </c>
      <c r="AR34" s="16">
        <v>1425</v>
      </c>
      <c r="AS34" s="16">
        <v>1425</v>
      </c>
      <c r="AT34" s="16">
        <v>1425</v>
      </c>
      <c r="AU34" s="16">
        <f t="shared" si="1"/>
        <v>26250</v>
      </c>
    </row>
    <row r="35" spans="1:47" ht="15.5" x14ac:dyDescent="0.35">
      <c r="A35" s="27"/>
      <c r="B35" s="13" t="s">
        <v>65</v>
      </c>
      <c r="C35" s="7" t="s">
        <v>66</v>
      </c>
      <c r="D35" s="7" t="s">
        <v>82</v>
      </c>
      <c r="E35" s="7" t="s">
        <v>85</v>
      </c>
      <c r="F35" s="7">
        <v>2</v>
      </c>
      <c r="G35" s="7">
        <v>3</v>
      </c>
      <c r="H35" s="7">
        <v>4.625</v>
      </c>
      <c r="I35" s="7">
        <v>5.5</v>
      </c>
      <c r="J35" s="7">
        <v>4.75</v>
      </c>
      <c r="K35" s="7">
        <v>4.75</v>
      </c>
      <c r="L35" s="7">
        <v>3.5</v>
      </c>
      <c r="M35" s="7">
        <v>5.5</v>
      </c>
      <c r="N35" s="7">
        <v>4.5</v>
      </c>
      <c r="O35" s="7">
        <v>6.5</v>
      </c>
      <c r="P35" s="7">
        <v>7.5</v>
      </c>
      <c r="Q35" s="7">
        <v>6</v>
      </c>
      <c r="R35" s="7">
        <v>7</v>
      </c>
      <c r="S35" s="7">
        <v>7</v>
      </c>
      <c r="T35" s="7">
        <v>7</v>
      </c>
      <c r="U35" s="7">
        <v>7</v>
      </c>
      <c r="V35" s="7">
        <v>7</v>
      </c>
      <c r="W35" s="7">
        <v>8</v>
      </c>
      <c r="X35" s="7">
        <v>9</v>
      </c>
      <c r="Y35" s="7">
        <v>5</v>
      </c>
      <c r="Z35" s="7">
        <f t="shared" si="0"/>
        <v>5.7562499999999996</v>
      </c>
      <c r="AA35" s="16">
        <v>1500</v>
      </c>
      <c r="AB35" s="16">
        <v>1500</v>
      </c>
      <c r="AC35" s="16">
        <v>1500</v>
      </c>
      <c r="AD35" s="16">
        <v>1500</v>
      </c>
      <c r="AE35" s="16">
        <v>1500</v>
      </c>
      <c r="AF35" s="16">
        <v>1500</v>
      </c>
      <c r="AG35" s="16">
        <v>1500</v>
      </c>
      <c r="AH35" s="16">
        <v>1500</v>
      </c>
      <c r="AI35" s="16">
        <v>1500</v>
      </c>
      <c r="AJ35" s="16">
        <v>1500</v>
      </c>
      <c r="AK35" s="16">
        <v>1650</v>
      </c>
      <c r="AL35" s="16">
        <v>1650</v>
      </c>
      <c r="AM35" s="16">
        <v>1650</v>
      </c>
      <c r="AN35" s="16">
        <v>1650</v>
      </c>
      <c r="AO35" s="16">
        <v>1650</v>
      </c>
      <c r="AP35" s="16">
        <v>1650</v>
      </c>
      <c r="AQ35" s="16">
        <v>1650</v>
      </c>
      <c r="AR35" s="16">
        <v>1650</v>
      </c>
      <c r="AS35" s="16">
        <v>1650</v>
      </c>
      <c r="AT35" s="16">
        <v>1650</v>
      </c>
      <c r="AU35" s="16">
        <f t="shared" si="1"/>
        <v>31500</v>
      </c>
    </row>
    <row r="36" spans="1:47" ht="15.5" x14ac:dyDescent="0.35">
      <c r="A36" s="27"/>
      <c r="B36" s="13" t="s">
        <v>67</v>
      </c>
      <c r="C36" s="7" t="s">
        <v>68</v>
      </c>
      <c r="D36" s="7" t="s">
        <v>81</v>
      </c>
      <c r="E36" s="7" t="s">
        <v>85</v>
      </c>
      <c r="F36" s="7">
        <v>4</v>
      </c>
      <c r="G36" s="7">
        <v>1.5</v>
      </c>
      <c r="H36" s="7">
        <v>3</v>
      </c>
      <c r="I36" s="7">
        <v>4.25</v>
      </c>
      <c r="J36" s="7">
        <v>6</v>
      </c>
      <c r="K36" s="7">
        <v>7</v>
      </c>
      <c r="L36" s="7">
        <v>8.5</v>
      </c>
      <c r="M36" s="7">
        <v>9</v>
      </c>
      <c r="N36" s="7">
        <v>8.5</v>
      </c>
      <c r="O36" s="7">
        <v>7.25</v>
      </c>
      <c r="P36" s="7">
        <v>4.25</v>
      </c>
      <c r="Q36" s="7">
        <v>9</v>
      </c>
      <c r="R36" s="7">
        <v>6.75</v>
      </c>
      <c r="S36" s="7">
        <v>4.5</v>
      </c>
      <c r="T36" s="7">
        <v>9</v>
      </c>
      <c r="U36" s="7">
        <v>9</v>
      </c>
      <c r="V36" s="7">
        <v>10</v>
      </c>
      <c r="W36" s="7">
        <v>8.25</v>
      </c>
      <c r="X36" s="7">
        <v>5.25</v>
      </c>
      <c r="Y36" s="7">
        <v>10</v>
      </c>
      <c r="Z36" s="7">
        <f t="shared" si="0"/>
        <v>6.75</v>
      </c>
      <c r="AA36" s="16">
        <v>1200</v>
      </c>
      <c r="AB36" s="16">
        <v>1200</v>
      </c>
      <c r="AC36" s="16">
        <v>1200</v>
      </c>
      <c r="AD36" s="16">
        <v>1200</v>
      </c>
      <c r="AE36" s="16">
        <v>1200</v>
      </c>
      <c r="AF36" s="16">
        <v>1024</v>
      </c>
      <c r="AG36" s="16">
        <v>1200</v>
      </c>
      <c r="AH36" s="16">
        <v>1200</v>
      </c>
      <c r="AI36" s="16">
        <v>1200</v>
      </c>
      <c r="AJ36" s="16">
        <v>1200</v>
      </c>
      <c r="AK36" s="16">
        <v>1350</v>
      </c>
      <c r="AL36" s="16">
        <v>1350</v>
      </c>
      <c r="AM36" s="16">
        <v>1350</v>
      </c>
      <c r="AN36" s="16">
        <v>1350</v>
      </c>
      <c r="AO36" s="16">
        <v>1350</v>
      </c>
      <c r="AP36" s="16">
        <v>1350</v>
      </c>
      <c r="AQ36" s="16">
        <v>1350</v>
      </c>
      <c r="AR36" s="16">
        <v>1350</v>
      </c>
      <c r="AS36" s="16">
        <v>1350</v>
      </c>
      <c r="AT36" s="16">
        <v>1350</v>
      </c>
      <c r="AU36" s="16">
        <f t="shared" si="1"/>
        <v>25324</v>
      </c>
    </row>
    <row r="37" spans="1:47" ht="15.5" x14ac:dyDescent="0.35">
      <c r="A37" s="27"/>
      <c r="B37" s="13" t="s">
        <v>69</v>
      </c>
      <c r="C37" s="7" t="s">
        <v>70</v>
      </c>
      <c r="D37" s="7" t="s">
        <v>81</v>
      </c>
      <c r="E37" s="7" t="s">
        <v>84</v>
      </c>
      <c r="F37" s="7">
        <v>1</v>
      </c>
      <c r="G37" s="7">
        <v>0.5</v>
      </c>
      <c r="H37" s="7">
        <v>1.75</v>
      </c>
      <c r="I37" s="7">
        <v>1.75</v>
      </c>
      <c r="J37" s="7">
        <v>2.25</v>
      </c>
      <c r="K37" s="7">
        <v>2.25</v>
      </c>
      <c r="L37" s="7">
        <v>3.75</v>
      </c>
      <c r="M37" s="7">
        <v>3.5</v>
      </c>
      <c r="N37" s="7">
        <v>3</v>
      </c>
      <c r="O37" s="7">
        <v>3</v>
      </c>
      <c r="P37" s="7">
        <v>3</v>
      </c>
      <c r="Q37" s="7">
        <v>2.5</v>
      </c>
      <c r="R37" s="7">
        <v>5.5</v>
      </c>
      <c r="S37" s="7">
        <v>7</v>
      </c>
      <c r="T37" s="7">
        <v>2</v>
      </c>
      <c r="U37" s="7">
        <v>4</v>
      </c>
      <c r="V37" s="7">
        <v>4</v>
      </c>
      <c r="W37" s="7">
        <v>4.5</v>
      </c>
      <c r="X37" s="7">
        <v>6</v>
      </c>
      <c r="Y37" s="7">
        <v>3</v>
      </c>
      <c r="Z37" s="7">
        <f t="shared" si="0"/>
        <v>3.2124999999999999</v>
      </c>
      <c r="AA37" s="16">
        <v>675</v>
      </c>
      <c r="AB37" s="16">
        <v>675</v>
      </c>
      <c r="AC37" s="16">
        <v>675</v>
      </c>
      <c r="AD37" s="16">
        <v>675</v>
      </c>
      <c r="AE37" s="16">
        <v>675</v>
      </c>
      <c r="AF37" s="16">
        <v>675</v>
      </c>
      <c r="AG37" s="16">
        <v>675</v>
      </c>
      <c r="AH37" s="16">
        <v>675</v>
      </c>
      <c r="AI37" s="16">
        <v>675</v>
      </c>
      <c r="AJ37" s="16">
        <v>675</v>
      </c>
      <c r="AK37" s="16">
        <v>750</v>
      </c>
      <c r="AL37" s="16">
        <v>750</v>
      </c>
      <c r="AM37" s="16">
        <v>750</v>
      </c>
      <c r="AN37" s="16">
        <v>750</v>
      </c>
      <c r="AO37" s="16">
        <v>750</v>
      </c>
      <c r="AP37" s="16">
        <v>750</v>
      </c>
      <c r="AQ37" s="16">
        <v>750</v>
      </c>
      <c r="AR37" s="16">
        <v>750</v>
      </c>
      <c r="AS37" s="16">
        <v>750</v>
      </c>
      <c r="AT37" s="16">
        <v>750</v>
      </c>
      <c r="AU37" s="16">
        <f t="shared" si="1"/>
        <v>14250</v>
      </c>
    </row>
    <row r="38" spans="1:47" x14ac:dyDescent="0.35">
      <c r="B38" s="8" t="s">
        <v>78</v>
      </c>
      <c r="C38" s="3"/>
      <c r="D38" s="3"/>
      <c r="E38" s="3"/>
      <c r="F38" s="3">
        <f>AVERAGE(F3:F37)</f>
        <v>2.6678571428571427</v>
      </c>
      <c r="G38" s="3">
        <f t="shared" ref="G38:AU38" si="2">AVERAGE(G3:G37)</f>
        <v>2.4928571428571429</v>
      </c>
      <c r="H38" s="3">
        <f t="shared" si="2"/>
        <v>3.1154761904761901</v>
      </c>
      <c r="I38" s="3">
        <f t="shared" si="2"/>
        <v>3.1976190476190474</v>
      </c>
      <c r="J38" s="3">
        <f t="shared" si="2"/>
        <v>3.333333333333333</v>
      </c>
      <c r="K38" s="3">
        <f t="shared" si="2"/>
        <v>3.4571428571428573</v>
      </c>
      <c r="L38" s="3">
        <f t="shared" si="2"/>
        <v>3.7892857142857141</v>
      </c>
      <c r="M38" s="3">
        <f t="shared" si="2"/>
        <v>4.0809523809523816</v>
      </c>
      <c r="N38" s="3">
        <f t="shared" si="2"/>
        <v>3.8</v>
      </c>
      <c r="O38" s="3">
        <f t="shared" si="2"/>
        <v>3.958333333333333</v>
      </c>
      <c r="P38" s="3">
        <f t="shared" si="2"/>
        <v>3.8321428571428573</v>
      </c>
      <c r="Q38" s="3">
        <f t="shared" si="2"/>
        <v>3.8214285714285716</v>
      </c>
      <c r="R38" s="3">
        <f t="shared" si="2"/>
        <v>4.0821428571428573</v>
      </c>
      <c r="S38" s="3">
        <f t="shared" si="2"/>
        <v>4.125</v>
      </c>
      <c r="T38" s="3">
        <f t="shared" si="2"/>
        <v>4.2035714285714283</v>
      </c>
      <c r="U38" s="3">
        <f t="shared" si="2"/>
        <v>4.2357142857142858</v>
      </c>
      <c r="V38" s="3">
        <f t="shared" si="2"/>
        <v>4.3</v>
      </c>
      <c r="W38" s="3">
        <f t="shared" si="2"/>
        <v>4.1785714285714288</v>
      </c>
      <c r="X38" s="3">
        <f t="shared" si="2"/>
        <v>4.253571428571429</v>
      </c>
      <c r="Y38" s="3">
        <f t="shared" si="2"/>
        <v>4.746428571428571</v>
      </c>
      <c r="Z38" s="3">
        <f t="shared" si="2"/>
        <v>3.7835714285714279</v>
      </c>
      <c r="AA38" s="3">
        <f t="shared" si="2"/>
        <v>915.25714285714287</v>
      </c>
      <c r="AB38" s="3">
        <f t="shared" si="2"/>
        <v>921.08571428571429</v>
      </c>
      <c r="AC38" s="3">
        <f t="shared" si="2"/>
        <v>915.62857142857138</v>
      </c>
      <c r="AD38" s="3">
        <f t="shared" si="2"/>
        <v>921.4</v>
      </c>
      <c r="AE38" s="3">
        <f t="shared" si="2"/>
        <v>925.71428571428567</v>
      </c>
      <c r="AF38" s="3">
        <f t="shared" si="2"/>
        <v>920.2285714285714</v>
      </c>
      <c r="AG38" s="3">
        <f t="shared" si="2"/>
        <v>918.42857142857144</v>
      </c>
      <c r="AH38" s="3">
        <f t="shared" si="2"/>
        <v>925.71428571428567</v>
      </c>
      <c r="AI38" s="3">
        <f t="shared" si="2"/>
        <v>925.71428571428567</v>
      </c>
      <c r="AJ38" s="3">
        <f t="shared" si="2"/>
        <v>911.85714285714289</v>
      </c>
      <c r="AK38" s="3">
        <f t="shared" si="2"/>
        <v>994.28571428571433</v>
      </c>
      <c r="AL38" s="3">
        <f t="shared" si="2"/>
        <v>994.28571428571433</v>
      </c>
      <c r="AM38" s="3">
        <f t="shared" si="2"/>
        <v>988.71428571428567</v>
      </c>
      <c r="AN38" s="3">
        <f t="shared" si="2"/>
        <v>994.28571428571433</v>
      </c>
      <c r="AO38" s="3">
        <f t="shared" si="2"/>
        <v>987.8</v>
      </c>
      <c r="AP38" s="3">
        <f t="shared" si="2"/>
        <v>993.14285714285711</v>
      </c>
      <c r="AQ38" s="3">
        <f t="shared" si="2"/>
        <v>994.28571428571433</v>
      </c>
      <c r="AR38" s="3">
        <f t="shared" si="2"/>
        <v>994.28571428571433</v>
      </c>
      <c r="AS38" s="3">
        <f t="shared" si="2"/>
        <v>994.28571428571433</v>
      </c>
      <c r="AT38" s="3">
        <f t="shared" si="2"/>
        <v>994.28571428571433</v>
      </c>
      <c r="AU38" s="3">
        <f t="shared" si="2"/>
        <v>19130.685714285715</v>
      </c>
    </row>
    <row r="39" spans="1:47" x14ac:dyDescent="0.35">
      <c r="B39" s="4" t="s">
        <v>79</v>
      </c>
      <c r="C39" s="3"/>
      <c r="D39" s="3"/>
      <c r="E39" s="3"/>
      <c r="F39" s="3">
        <f>STDEV(F3:F37)</f>
        <v>1.7370695766968329</v>
      </c>
      <c r="G39" s="3">
        <f t="shared" ref="G39:AU39" si="3">STDEV(G3:G37)</f>
        <v>1.6852361877206889</v>
      </c>
      <c r="H39" s="3">
        <f t="shared" si="3"/>
        <v>1.5606962043877377</v>
      </c>
      <c r="I39" s="3">
        <f t="shared" si="3"/>
        <v>1.9952799402964474</v>
      </c>
      <c r="J39" s="3">
        <f t="shared" si="3"/>
        <v>1.7615457134725727</v>
      </c>
      <c r="K39" s="3">
        <f t="shared" si="3"/>
        <v>1.9738508517296718</v>
      </c>
      <c r="L39" s="3">
        <f t="shared" si="3"/>
        <v>2.3163762085412203</v>
      </c>
      <c r="M39" s="3">
        <f t="shared" si="3"/>
        <v>1.9886817934107781</v>
      </c>
      <c r="N39" s="3">
        <f t="shared" si="3"/>
        <v>1.9353522251244393</v>
      </c>
      <c r="O39" s="3">
        <f t="shared" si="3"/>
        <v>2.2777653235750717</v>
      </c>
      <c r="P39" s="3">
        <f t="shared" si="3"/>
        <v>2.0128134705498399</v>
      </c>
      <c r="Q39" s="3">
        <f t="shared" si="3"/>
        <v>2.1328328205314482</v>
      </c>
      <c r="R39" s="3">
        <f t="shared" si="3"/>
        <v>2.5042138856084057</v>
      </c>
      <c r="S39" s="3">
        <f t="shared" si="3"/>
        <v>2.1202368763335633</v>
      </c>
      <c r="T39" s="3">
        <f t="shared" si="3"/>
        <v>2.8113291213537108</v>
      </c>
      <c r="U39" s="3">
        <f t="shared" si="3"/>
        <v>2.3191520835328205</v>
      </c>
      <c r="V39" s="3">
        <f t="shared" si="3"/>
        <v>2.3779393575605106</v>
      </c>
      <c r="W39" s="3">
        <f t="shared" si="3"/>
        <v>2.3029484207362154</v>
      </c>
      <c r="X39" s="3">
        <f t="shared" si="3"/>
        <v>2.2975941929832282</v>
      </c>
      <c r="Y39" s="3">
        <f t="shared" si="3"/>
        <v>3.2381693201898023</v>
      </c>
      <c r="Z39" s="3">
        <f t="shared" si="3"/>
        <v>1.6176312764487737</v>
      </c>
      <c r="AA39" s="3">
        <f t="shared" si="3"/>
        <v>264.57605854706981</v>
      </c>
      <c r="AB39" s="3">
        <f t="shared" si="3"/>
        <v>262.059307547488</v>
      </c>
      <c r="AC39" s="3">
        <f t="shared" si="3"/>
        <v>250.08270228705004</v>
      </c>
      <c r="AD39" s="3">
        <f t="shared" si="3"/>
        <v>262.00877847888984</v>
      </c>
      <c r="AE39" s="3">
        <f t="shared" si="3"/>
        <v>256.56710754161156</v>
      </c>
      <c r="AF39" s="3">
        <f t="shared" si="3"/>
        <v>253.34005114194849</v>
      </c>
      <c r="AG39" s="3">
        <f t="shared" si="3"/>
        <v>249.89048021251293</v>
      </c>
      <c r="AH39" s="3">
        <f t="shared" si="3"/>
        <v>256.56710754161156</v>
      </c>
      <c r="AI39" s="3">
        <f t="shared" si="3"/>
        <v>256.56710754161156</v>
      </c>
      <c r="AJ39" s="3">
        <f t="shared" si="3"/>
        <v>254.11925672537197</v>
      </c>
      <c r="AK39" s="3">
        <f t="shared" si="3"/>
        <v>261.29525461445638</v>
      </c>
      <c r="AL39" s="3">
        <f t="shared" si="3"/>
        <v>261.29525461445638</v>
      </c>
      <c r="AM39" s="3">
        <f t="shared" si="3"/>
        <v>263.78562724844795</v>
      </c>
      <c r="AN39" s="3">
        <f t="shared" si="3"/>
        <v>261.29525461445638</v>
      </c>
      <c r="AO39" s="3">
        <f t="shared" si="3"/>
        <v>265.22407840297217</v>
      </c>
      <c r="AP39" s="3">
        <f t="shared" si="3"/>
        <v>263.15139266624601</v>
      </c>
      <c r="AQ39" s="3">
        <f t="shared" si="3"/>
        <v>261.29525461445638</v>
      </c>
      <c r="AR39" s="3">
        <f t="shared" si="3"/>
        <v>261.29525461445638</v>
      </c>
      <c r="AS39" s="3">
        <f t="shared" si="3"/>
        <v>261.29525461445638</v>
      </c>
      <c r="AT39" s="3">
        <f t="shared" si="3"/>
        <v>261.29525461445638</v>
      </c>
      <c r="AU39" s="3">
        <f t="shared" si="3"/>
        <v>5118.0196582124136</v>
      </c>
    </row>
    <row r="40" spans="1:47" x14ac:dyDescent="0.35">
      <c r="B40" s="2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7" ht="18.5" x14ac:dyDescent="0.35">
      <c r="A41" s="24" t="s">
        <v>87</v>
      </c>
      <c r="B41" s="9" t="s">
        <v>1</v>
      </c>
      <c r="C41" s="10" t="s">
        <v>2</v>
      </c>
      <c r="D41" s="10" t="s">
        <v>82</v>
      </c>
      <c r="E41" s="10" t="s">
        <v>84</v>
      </c>
      <c r="F41" s="11">
        <v>0</v>
      </c>
      <c r="G41" s="11">
        <v>0</v>
      </c>
      <c r="H41" s="11">
        <v>0</v>
      </c>
      <c r="I41" s="11">
        <v>0</v>
      </c>
      <c r="J41" s="11">
        <v>0.25</v>
      </c>
      <c r="K41" s="11">
        <v>1</v>
      </c>
      <c r="L41" s="11">
        <v>0.75</v>
      </c>
      <c r="M41" s="11">
        <v>0.75</v>
      </c>
      <c r="N41" s="11">
        <v>0.75</v>
      </c>
      <c r="O41" s="11">
        <v>0.5</v>
      </c>
      <c r="P41" s="11">
        <v>0.25</v>
      </c>
      <c r="Q41" s="11">
        <v>0.75</v>
      </c>
      <c r="R41" s="11">
        <v>0.75</v>
      </c>
      <c r="S41" s="11">
        <v>0.75</v>
      </c>
      <c r="T41" s="11">
        <v>1.25</v>
      </c>
      <c r="U41" s="11">
        <v>1.75</v>
      </c>
      <c r="V41" s="11">
        <v>2</v>
      </c>
      <c r="W41" s="11">
        <v>1.75</v>
      </c>
      <c r="X41" s="11">
        <v>2</v>
      </c>
      <c r="Y41" s="11">
        <v>1.25</v>
      </c>
      <c r="Z41" s="11">
        <f t="shared" ref="Z41:Z75" si="4">AVERAGE(F41:Y41)</f>
        <v>0.82499999999999996</v>
      </c>
      <c r="AA41" s="10">
        <v>800</v>
      </c>
      <c r="AB41" s="10">
        <v>1120</v>
      </c>
      <c r="AC41" s="10">
        <v>1184</v>
      </c>
      <c r="AD41" s="10">
        <v>1280</v>
      </c>
      <c r="AE41" s="10">
        <v>1280</v>
      </c>
      <c r="AF41" s="10">
        <v>1280</v>
      </c>
      <c r="AG41" s="10">
        <v>1280</v>
      </c>
      <c r="AH41" s="10">
        <v>1280</v>
      </c>
      <c r="AI41" s="10">
        <v>1280</v>
      </c>
      <c r="AJ41" s="10">
        <v>1280</v>
      </c>
      <c r="AK41" s="10">
        <v>1640</v>
      </c>
      <c r="AL41" s="10">
        <v>1640</v>
      </c>
      <c r="AM41" s="10">
        <v>1640</v>
      </c>
      <c r="AN41" s="10">
        <v>1640</v>
      </c>
      <c r="AO41" s="10">
        <v>1640</v>
      </c>
      <c r="AP41" s="10">
        <v>1640</v>
      </c>
      <c r="AQ41" s="10">
        <v>1640</v>
      </c>
      <c r="AR41" s="10">
        <v>1640</v>
      </c>
      <c r="AS41" s="10">
        <v>1640</v>
      </c>
      <c r="AT41" s="10">
        <v>1640</v>
      </c>
      <c r="AU41" s="10">
        <f>SUM(AA41:AT41)</f>
        <v>28464</v>
      </c>
    </row>
    <row r="42" spans="1:47" ht="18.5" x14ac:dyDescent="0.35">
      <c r="A42" s="25"/>
      <c r="B42" s="9" t="s">
        <v>3</v>
      </c>
      <c r="C42" s="10" t="s">
        <v>4</v>
      </c>
      <c r="D42" s="10" t="s">
        <v>81</v>
      </c>
      <c r="E42" s="10" t="s">
        <v>84</v>
      </c>
      <c r="F42" s="11">
        <v>0</v>
      </c>
      <c r="G42" s="11">
        <v>0.5</v>
      </c>
      <c r="H42" s="11">
        <v>0</v>
      </c>
      <c r="I42" s="11">
        <v>1.25</v>
      </c>
      <c r="J42" s="11">
        <v>0</v>
      </c>
      <c r="K42" s="11">
        <v>1.5</v>
      </c>
      <c r="L42" s="11">
        <v>0.75</v>
      </c>
      <c r="M42" s="11">
        <v>1.5</v>
      </c>
      <c r="N42" s="11">
        <v>0.25</v>
      </c>
      <c r="O42" s="11">
        <v>0.25</v>
      </c>
      <c r="P42" s="11">
        <v>0.5</v>
      </c>
      <c r="Q42" s="11">
        <v>0.25</v>
      </c>
      <c r="R42" s="11">
        <v>0</v>
      </c>
      <c r="S42" s="11">
        <v>0.25</v>
      </c>
      <c r="T42" s="11">
        <v>0</v>
      </c>
      <c r="U42" s="11">
        <v>0.5</v>
      </c>
      <c r="V42" s="11">
        <v>0.5</v>
      </c>
      <c r="W42" s="11">
        <v>0.25</v>
      </c>
      <c r="X42" s="11">
        <v>0.5</v>
      </c>
      <c r="Y42" s="11">
        <v>0.5</v>
      </c>
      <c r="Z42" s="11">
        <f t="shared" si="4"/>
        <v>0.46250000000000002</v>
      </c>
      <c r="AA42" s="10">
        <v>1840</v>
      </c>
      <c r="AB42" s="10">
        <v>1840</v>
      </c>
      <c r="AC42" s="10">
        <v>1840</v>
      </c>
      <c r="AD42" s="10">
        <v>1840</v>
      </c>
      <c r="AE42" s="10">
        <v>1840</v>
      </c>
      <c r="AF42" s="10">
        <v>1840</v>
      </c>
      <c r="AG42" s="10">
        <v>1840</v>
      </c>
      <c r="AH42" s="10">
        <v>1840</v>
      </c>
      <c r="AI42" s="10">
        <v>1840</v>
      </c>
      <c r="AJ42" s="10">
        <v>1840</v>
      </c>
      <c r="AK42" s="10">
        <v>1960</v>
      </c>
      <c r="AL42" s="10">
        <v>1960</v>
      </c>
      <c r="AM42" s="10">
        <v>1960</v>
      </c>
      <c r="AN42" s="10">
        <v>1960</v>
      </c>
      <c r="AO42" s="10">
        <v>1960</v>
      </c>
      <c r="AP42" s="10">
        <v>1960</v>
      </c>
      <c r="AQ42" s="10">
        <v>1960</v>
      </c>
      <c r="AR42" s="10">
        <v>1960</v>
      </c>
      <c r="AS42" s="10">
        <v>1960</v>
      </c>
      <c r="AT42" s="10">
        <v>1960</v>
      </c>
      <c r="AU42" s="10">
        <f t="shared" ref="AU42:AU75" si="5">SUM(AA42:AT42)</f>
        <v>38000</v>
      </c>
    </row>
    <row r="43" spans="1:47" ht="18.5" x14ac:dyDescent="0.35">
      <c r="A43" s="25"/>
      <c r="B43" s="9" t="s">
        <v>5</v>
      </c>
      <c r="C43" s="10" t="s">
        <v>6</v>
      </c>
      <c r="D43" s="10" t="s">
        <v>81</v>
      </c>
      <c r="E43" s="10" t="s">
        <v>84</v>
      </c>
      <c r="F43" s="11">
        <v>2.25</v>
      </c>
      <c r="G43" s="11">
        <v>0.25</v>
      </c>
      <c r="H43" s="11">
        <v>1.25</v>
      </c>
      <c r="I43" s="11">
        <v>1.5</v>
      </c>
      <c r="J43" s="11">
        <v>1.5</v>
      </c>
      <c r="K43" s="11">
        <v>1.75</v>
      </c>
      <c r="L43" s="11">
        <v>3</v>
      </c>
      <c r="M43" s="11">
        <v>2.5</v>
      </c>
      <c r="N43" s="11">
        <v>1.75</v>
      </c>
      <c r="O43" s="11">
        <v>1.5</v>
      </c>
      <c r="P43" s="11">
        <v>1.75</v>
      </c>
      <c r="Q43" s="11">
        <v>1.25</v>
      </c>
      <c r="R43" s="11">
        <v>1.25</v>
      </c>
      <c r="S43" s="11">
        <v>1.25</v>
      </c>
      <c r="T43" s="11">
        <v>2</v>
      </c>
      <c r="U43" s="11">
        <v>3</v>
      </c>
      <c r="V43" s="11">
        <v>2.5</v>
      </c>
      <c r="W43" s="11">
        <v>1.75</v>
      </c>
      <c r="X43" s="11">
        <v>2.75</v>
      </c>
      <c r="Y43" s="11">
        <v>2.25</v>
      </c>
      <c r="Z43" s="11">
        <f t="shared" si="4"/>
        <v>1.85</v>
      </c>
      <c r="AA43" s="10">
        <v>2028</v>
      </c>
      <c r="AB43" s="10">
        <v>1976</v>
      </c>
      <c r="AC43" s="10">
        <v>2080</v>
      </c>
      <c r="AD43" s="10">
        <v>2080</v>
      </c>
      <c r="AE43" s="10">
        <v>2080</v>
      </c>
      <c r="AF43" s="10">
        <v>2080</v>
      </c>
      <c r="AG43" s="10">
        <v>2080</v>
      </c>
      <c r="AH43" s="10">
        <v>2080</v>
      </c>
      <c r="AI43" s="10">
        <v>2080</v>
      </c>
      <c r="AJ43" s="10">
        <v>2080</v>
      </c>
      <c r="AK43" s="10">
        <v>2120</v>
      </c>
      <c r="AL43" s="10">
        <v>2120</v>
      </c>
      <c r="AM43" s="10">
        <v>2120</v>
      </c>
      <c r="AN43" s="10">
        <v>2120</v>
      </c>
      <c r="AO43" s="10">
        <v>2120</v>
      </c>
      <c r="AP43" s="10">
        <v>2120</v>
      </c>
      <c r="AQ43" s="10">
        <v>2120</v>
      </c>
      <c r="AR43" s="10">
        <v>2120</v>
      </c>
      <c r="AS43" s="10">
        <v>2120</v>
      </c>
      <c r="AT43" s="10">
        <v>2120</v>
      </c>
      <c r="AU43" s="10">
        <f t="shared" si="5"/>
        <v>41844</v>
      </c>
    </row>
    <row r="44" spans="1:47" ht="18.5" x14ac:dyDescent="0.35">
      <c r="A44" s="25"/>
      <c r="B44" s="9" t="s">
        <v>7</v>
      </c>
      <c r="C44" s="10" t="s">
        <v>8</v>
      </c>
      <c r="D44" s="10" t="s">
        <v>81</v>
      </c>
      <c r="E44" s="10" t="s">
        <v>84</v>
      </c>
      <c r="F44" s="11">
        <v>0</v>
      </c>
      <c r="G44" s="11">
        <v>0</v>
      </c>
      <c r="H44" s="11">
        <v>0.25</v>
      </c>
      <c r="I44" s="11">
        <v>0</v>
      </c>
      <c r="J44" s="11">
        <v>0</v>
      </c>
      <c r="K44" s="11">
        <v>0.25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0.375</v>
      </c>
      <c r="R44" s="11">
        <v>0</v>
      </c>
      <c r="S44" s="11">
        <v>0.25</v>
      </c>
      <c r="T44" s="11">
        <v>0.25</v>
      </c>
      <c r="U44" s="11">
        <v>0.25</v>
      </c>
      <c r="V44" s="11">
        <v>0</v>
      </c>
      <c r="W44" s="11">
        <v>0</v>
      </c>
      <c r="X44" s="11">
        <v>0</v>
      </c>
      <c r="Y44" s="11">
        <v>0</v>
      </c>
      <c r="Z44" s="11">
        <f t="shared" si="4"/>
        <v>8.1250000000000003E-2</v>
      </c>
      <c r="AA44" s="10">
        <v>2356</v>
      </c>
      <c r="AB44" s="10">
        <v>1860</v>
      </c>
      <c r="AC44" s="10">
        <v>2480</v>
      </c>
      <c r="AD44" s="10">
        <v>2480</v>
      </c>
      <c r="AE44" s="10">
        <v>2480</v>
      </c>
      <c r="AF44" s="10">
        <v>2480</v>
      </c>
      <c r="AG44" s="10">
        <v>2108</v>
      </c>
      <c r="AH44" s="10">
        <v>2480</v>
      </c>
      <c r="AI44" s="10">
        <v>2480</v>
      </c>
      <c r="AJ44" s="10">
        <v>2480</v>
      </c>
      <c r="AK44" s="10">
        <v>2760</v>
      </c>
      <c r="AL44" s="10">
        <v>2760</v>
      </c>
      <c r="AM44" s="10">
        <v>2760</v>
      </c>
      <c r="AN44" s="10">
        <v>2760</v>
      </c>
      <c r="AO44" s="10">
        <v>2760</v>
      </c>
      <c r="AP44" s="10">
        <v>2760</v>
      </c>
      <c r="AQ44" s="10">
        <v>2760</v>
      </c>
      <c r="AR44" s="10">
        <v>2760</v>
      </c>
      <c r="AS44" s="10">
        <v>2415</v>
      </c>
      <c r="AT44" s="10">
        <v>2622</v>
      </c>
      <c r="AU44" s="10">
        <f t="shared" si="5"/>
        <v>50801</v>
      </c>
    </row>
    <row r="45" spans="1:47" ht="18.5" x14ac:dyDescent="0.35">
      <c r="A45" s="25"/>
      <c r="B45" s="9" t="s">
        <v>9</v>
      </c>
      <c r="C45" s="10" t="s">
        <v>10</v>
      </c>
      <c r="D45" s="10" t="s">
        <v>82</v>
      </c>
      <c r="E45" s="10" t="s">
        <v>85</v>
      </c>
      <c r="F45" s="11">
        <v>0.25</v>
      </c>
      <c r="G45" s="11">
        <v>0</v>
      </c>
      <c r="H45" s="11">
        <v>0.875</v>
      </c>
      <c r="I45" s="11">
        <v>1.25</v>
      </c>
      <c r="J45" s="11">
        <v>1.75</v>
      </c>
      <c r="K45" s="11">
        <v>1.875</v>
      </c>
      <c r="L45" s="11">
        <v>1.625</v>
      </c>
      <c r="M45" s="11">
        <v>1.125</v>
      </c>
      <c r="N45" s="11">
        <v>2.25</v>
      </c>
      <c r="O45" s="11">
        <v>2.625</v>
      </c>
      <c r="P45" s="11">
        <v>0</v>
      </c>
      <c r="Q45" s="11">
        <v>1.375</v>
      </c>
      <c r="R45" s="11">
        <v>0.75</v>
      </c>
      <c r="S45" s="11">
        <v>0.75</v>
      </c>
      <c r="T45" s="11">
        <v>1.375</v>
      </c>
      <c r="U45" s="11">
        <v>2.5</v>
      </c>
      <c r="V45" s="11">
        <v>1.5</v>
      </c>
      <c r="W45" s="11">
        <v>1.5</v>
      </c>
      <c r="X45" s="11">
        <v>2.375</v>
      </c>
      <c r="Y45" s="11">
        <v>2</v>
      </c>
      <c r="Z45" s="11">
        <f t="shared" si="4"/>
        <v>1.3875</v>
      </c>
      <c r="AA45" s="10">
        <v>1150</v>
      </c>
      <c r="AB45" s="10">
        <v>1150</v>
      </c>
      <c r="AC45" s="10">
        <v>1518</v>
      </c>
      <c r="AD45" s="10">
        <v>1518</v>
      </c>
      <c r="AE45" s="10">
        <v>1564</v>
      </c>
      <c r="AF45" s="10">
        <v>1656</v>
      </c>
      <c r="AG45" s="10">
        <v>1656</v>
      </c>
      <c r="AH45" s="10">
        <v>1656</v>
      </c>
      <c r="AI45" s="10">
        <v>1840</v>
      </c>
      <c r="AJ45" s="10">
        <v>1840</v>
      </c>
      <c r="AK45" s="10">
        <v>1716</v>
      </c>
      <c r="AL45" s="10">
        <v>1872</v>
      </c>
      <c r="AM45" s="10">
        <v>1820</v>
      </c>
      <c r="AN45" s="10">
        <v>1612</v>
      </c>
      <c r="AO45" s="10">
        <v>2080</v>
      </c>
      <c r="AP45" s="10">
        <v>2080</v>
      </c>
      <c r="AQ45" s="10">
        <v>1976</v>
      </c>
      <c r="AR45" s="10">
        <v>2080</v>
      </c>
      <c r="AS45" s="10">
        <v>2080</v>
      </c>
      <c r="AT45" s="10">
        <v>2080</v>
      </c>
      <c r="AU45" s="10">
        <f t="shared" si="5"/>
        <v>34944</v>
      </c>
    </row>
    <row r="46" spans="1:47" ht="18.5" x14ac:dyDescent="0.35">
      <c r="A46" s="25"/>
      <c r="B46" s="9" t="s">
        <v>11</v>
      </c>
      <c r="C46" s="10" t="s">
        <v>12</v>
      </c>
      <c r="D46" s="10" t="s">
        <v>82</v>
      </c>
      <c r="E46" s="10" t="s">
        <v>84</v>
      </c>
      <c r="F46" s="11">
        <v>0.5</v>
      </c>
      <c r="G46" s="11">
        <v>0.25</v>
      </c>
      <c r="H46" s="11">
        <v>1</v>
      </c>
      <c r="I46" s="11">
        <v>4</v>
      </c>
      <c r="J46" s="11">
        <v>1.25</v>
      </c>
      <c r="K46" s="11">
        <v>2.5</v>
      </c>
      <c r="L46" s="11">
        <v>1.5</v>
      </c>
      <c r="M46" s="11">
        <v>2.75</v>
      </c>
      <c r="N46" s="11">
        <v>1.625</v>
      </c>
      <c r="O46" s="11">
        <v>0.5</v>
      </c>
      <c r="P46" s="11">
        <v>0.25</v>
      </c>
      <c r="Q46" s="11">
        <v>1</v>
      </c>
      <c r="R46" s="11">
        <v>0</v>
      </c>
      <c r="S46" s="11">
        <v>0.5</v>
      </c>
      <c r="T46" s="11">
        <v>0.75</v>
      </c>
      <c r="U46" s="11">
        <v>0.5</v>
      </c>
      <c r="V46" s="11">
        <v>1.25</v>
      </c>
      <c r="W46" s="11">
        <v>2.75</v>
      </c>
      <c r="X46" s="11">
        <v>2.25</v>
      </c>
      <c r="Y46" s="11">
        <v>2</v>
      </c>
      <c r="Z46" s="11">
        <f t="shared" si="4"/>
        <v>1.35625</v>
      </c>
      <c r="AA46" s="10">
        <v>1040</v>
      </c>
      <c r="AB46" s="10">
        <v>832</v>
      </c>
      <c r="AC46" s="10">
        <v>1040</v>
      </c>
      <c r="AD46" s="10">
        <v>1040</v>
      </c>
      <c r="AE46" s="10">
        <v>1040</v>
      </c>
      <c r="AF46" s="10">
        <v>1040</v>
      </c>
      <c r="AG46" s="10">
        <v>1040</v>
      </c>
      <c r="AH46" s="10">
        <v>1040</v>
      </c>
      <c r="AI46" s="10">
        <v>1040</v>
      </c>
      <c r="AJ46" s="10">
        <v>1040</v>
      </c>
      <c r="AK46" s="10">
        <v>1152</v>
      </c>
      <c r="AL46" s="10">
        <v>1280</v>
      </c>
      <c r="AM46" s="10">
        <v>1280</v>
      </c>
      <c r="AN46" s="10">
        <v>1280</v>
      </c>
      <c r="AO46" s="10">
        <v>1280</v>
      </c>
      <c r="AP46" s="10">
        <v>1280</v>
      </c>
      <c r="AQ46" s="10">
        <v>1280</v>
      </c>
      <c r="AR46" s="10">
        <v>1280</v>
      </c>
      <c r="AS46" s="10">
        <v>1280</v>
      </c>
      <c r="AT46" s="10">
        <v>1280</v>
      </c>
      <c r="AU46" s="10">
        <f t="shared" si="5"/>
        <v>22864</v>
      </c>
    </row>
    <row r="47" spans="1:47" ht="18.5" x14ac:dyDescent="0.35">
      <c r="A47" s="25"/>
      <c r="B47" s="9" t="s">
        <v>13</v>
      </c>
      <c r="C47" s="10" t="s">
        <v>14</v>
      </c>
      <c r="D47" s="10" t="s">
        <v>82</v>
      </c>
      <c r="E47" s="10" t="s">
        <v>84</v>
      </c>
      <c r="F47" s="11">
        <v>1.75</v>
      </c>
      <c r="G47" s="11">
        <v>0.75</v>
      </c>
      <c r="H47" s="11">
        <v>1.5</v>
      </c>
      <c r="I47" s="11">
        <v>1.5</v>
      </c>
      <c r="J47" s="11">
        <v>1.25</v>
      </c>
      <c r="K47" s="11">
        <v>1.125</v>
      </c>
      <c r="L47" s="11">
        <v>1.25</v>
      </c>
      <c r="M47" s="11">
        <v>2</v>
      </c>
      <c r="N47" s="11">
        <v>2.75</v>
      </c>
      <c r="O47" s="11">
        <v>2.25</v>
      </c>
      <c r="P47" s="11">
        <v>2.25</v>
      </c>
      <c r="Q47" s="11">
        <v>0.75</v>
      </c>
      <c r="R47" s="11">
        <v>1.5</v>
      </c>
      <c r="S47" s="11">
        <v>2.25</v>
      </c>
      <c r="T47" s="11">
        <v>2</v>
      </c>
      <c r="U47" s="11">
        <v>2.5</v>
      </c>
      <c r="V47" s="11">
        <v>2.75</v>
      </c>
      <c r="W47" s="11">
        <v>2.75</v>
      </c>
      <c r="X47" s="11">
        <v>3.25</v>
      </c>
      <c r="Y47" s="11">
        <v>3</v>
      </c>
      <c r="Z47" s="11">
        <f t="shared" si="4"/>
        <v>1.95625</v>
      </c>
      <c r="AA47" s="10">
        <v>1665</v>
      </c>
      <c r="AB47" s="10">
        <v>1710</v>
      </c>
      <c r="AC47" s="10">
        <v>1800</v>
      </c>
      <c r="AD47" s="10">
        <v>1800</v>
      </c>
      <c r="AE47" s="10">
        <v>1800</v>
      </c>
      <c r="AF47" s="10">
        <v>1800</v>
      </c>
      <c r="AG47" s="10">
        <v>1800</v>
      </c>
      <c r="AH47" s="10">
        <v>1800</v>
      </c>
      <c r="AI47" s="10">
        <v>1800</v>
      </c>
      <c r="AJ47" s="10">
        <v>1800</v>
      </c>
      <c r="AK47" s="10">
        <v>1920</v>
      </c>
      <c r="AL47" s="10">
        <v>1920</v>
      </c>
      <c r="AM47" s="10">
        <v>1920</v>
      </c>
      <c r="AN47" s="10">
        <v>1920</v>
      </c>
      <c r="AO47" s="10">
        <v>1920</v>
      </c>
      <c r="AP47" s="10">
        <v>1920</v>
      </c>
      <c r="AQ47" s="10">
        <v>1920</v>
      </c>
      <c r="AR47" s="10">
        <v>1920</v>
      </c>
      <c r="AS47" s="10">
        <v>1920</v>
      </c>
      <c r="AT47" s="10">
        <v>1920</v>
      </c>
      <c r="AU47" s="10">
        <f t="shared" si="5"/>
        <v>36975</v>
      </c>
    </row>
    <row r="48" spans="1:47" ht="18.5" x14ac:dyDescent="0.35">
      <c r="A48" s="25"/>
      <c r="B48" s="9" t="s">
        <v>15</v>
      </c>
      <c r="C48" s="10" t="s">
        <v>16</v>
      </c>
      <c r="D48" s="10" t="s">
        <v>81</v>
      </c>
      <c r="E48" s="10" t="s">
        <v>85</v>
      </c>
      <c r="F48" s="11">
        <v>0.25</v>
      </c>
      <c r="G48" s="11">
        <v>1.25</v>
      </c>
      <c r="H48" s="11">
        <v>1.25</v>
      </c>
      <c r="I48" s="11">
        <v>1</v>
      </c>
      <c r="J48" s="11">
        <v>1.25</v>
      </c>
      <c r="K48" s="11">
        <v>0.5</v>
      </c>
      <c r="L48" s="11">
        <v>0.75</v>
      </c>
      <c r="M48" s="11">
        <v>1.75</v>
      </c>
      <c r="N48" s="11">
        <v>0.25</v>
      </c>
      <c r="O48" s="11">
        <v>0.5</v>
      </c>
      <c r="P48" s="11">
        <v>0</v>
      </c>
      <c r="Q48" s="11">
        <v>0.25</v>
      </c>
      <c r="R48" s="11">
        <v>0.25</v>
      </c>
      <c r="S48" s="11">
        <v>0.25</v>
      </c>
      <c r="T48" s="11">
        <v>0.5</v>
      </c>
      <c r="U48" s="11">
        <v>0.75</v>
      </c>
      <c r="V48" s="11">
        <v>1.25</v>
      </c>
      <c r="W48" s="11">
        <v>1.25</v>
      </c>
      <c r="X48" s="11">
        <v>0.25</v>
      </c>
      <c r="Y48" s="11">
        <v>1.25</v>
      </c>
      <c r="Z48" s="11">
        <f t="shared" si="4"/>
        <v>0.73750000000000004</v>
      </c>
      <c r="AA48" s="10">
        <v>1624</v>
      </c>
      <c r="AB48" s="10">
        <v>1680</v>
      </c>
      <c r="AC48" s="10">
        <v>2016</v>
      </c>
      <c r="AD48" s="10">
        <v>2072</v>
      </c>
      <c r="AE48" s="10">
        <v>2240</v>
      </c>
      <c r="AF48" s="10">
        <v>1960</v>
      </c>
      <c r="AG48" s="10">
        <v>2240</v>
      </c>
      <c r="AH48" s="10">
        <v>2240</v>
      </c>
      <c r="AI48" s="10">
        <v>2240</v>
      </c>
      <c r="AJ48" s="10">
        <v>2240</v>
      </c>
      <c r="AK48" s="10">
        <v>2592</v>
      </c>
      <c r="AL48" s="10">
        <v>2520</v>
      </c>
      <c r="AM48" s="10">
        <v>2880</v>
      </c>
      <c r="AN48" s="10">
        <v>2880</v>
      </c>
      <c r="AO48" s="10">
        <v>2880</v>
      </c>
      <c r="AP48" s="10">
        <v>2880</v>
      </c>
      <c r="AQ48" s="10">
        <v>2880</v>
      </c>
      <c r="AR48" s="10">
        <v>2880</v>
      </c>
      <c r="AS48" s="10">
        <v>2880</v>
      </c>
      <c r="AT48" s="10">
        <v>2880</v>
      </c>
      <c r="AU48" s="10">
        <f t="shared" si="5"/>
        <v>48704</v>
      </c>
    </row>
    <row r="49" spans="1:47" ht="18.5" x14ac:dyDescent="0.35">
      <c r="A49" s="25"/>
      <c r="B49" s="9" t="s">
        <v>17</v>
      </c>
      <c r="C49" s="10" t="s">
        <v>18</v>
      </c>
      <c r="D49" s="10" t="s">
        <v>81</v>
      </c>
      <c r="E49" s="10" t="s">
        <v>85</v>
      </c>
      <c r="F49" s="11">
        <v>0.75</v>
      </c>
      <c r="G49" s="11">
        <v>1</v>
      </c>
      <c r="H49" s="11">
        <v>3.75</v>
      </c>
      <c r="I49" s="11">
        <v>4</v>
      </c>
      <c r="J49" s="11">
        <v>4.5</v>
      </c>
      <c r="K49" s="11">
        <v>3.25</v>
      </c>
      <c r="L49" s="11">
        <v>3.875</v>
      </c>
      <c r="M49" s="11">
        <v>3.5</v>
      </c>
      <c r="N49" s="11">
        <v>4.5</v>
      </c>
      <c r="O49" s="11">
        <v>2.75</v>
      </c>
      <c r="P49" s="11">
        <v>0</v>
      </c>
      <c r="Q49" s="11">
        <v>0</v>
      </c>
      <c r="R49" s="11">
        <v>0.75</v>
      </c>
      <c r="S49" s="11">
        <v>0.25</v>
      </c>
      <c r="T49" s="11">
        <v>1.375</v>
      </c>
      <c r="U49" s="11">
        <v>0.75</v>
      </c>
      <c r="V49" s="11">
        <v>0.75</v>
      </c>
      <c r="W49" s="11">
        <v>1</v>
      </c>
      <c r="X49" s="11">
        <v>2.5</v>
      </c>
      <c r="Y49" s="11">
        <v>0.5</v>
      </c>
      <c r="Z49" s="11">
        <f t="shared" si="4"/>
        <v>1.9875</v>
      </c>
      <c r="AA49" s="10">
        <v>1320</v>
      </c>
      <c r="AB49" s="10">
        <v>1320</v>
      </c>
      <c r="AC49" s="10">
        <v>1320</v>
      </c>
      <c r="AD49" s="10">
        <v>1320</v>
      </c>
      <c r="AE49" s="10">
        <v>1320</v>
      </c>
      <c r="AF49" s="10">
        <v>1320</v>
      </c>
      <c r="AG49" s="10">
        <v>1320</v>
      </c>
      <c r="AH49" s="10">
        <v>1320</v>
      </c>
      <c r="AI49" s="10">
        <v>1320</v>
      </c>
      <c r="AJ49" s="10">
        <v>1320</v>
      </c>
      <c r="AK49" s="10">
        <v>1452</v>
      </c>
      <c r="AL49" s="10">
        <v>1760</v>
      </c>
      <c r="AM49" s="10">
        <v>1760</v>
      </c>
      <c r="AN49" s="10">
        <v>1408</v>
      </c>
      <c r="AO49" s="10">
        <v>1760</v>
      </c>
      <c r="AP49" s="10">
        <v>1716</v>
      </c>
      <c r="AQ49" s="10">
        <v>1760</v>
      </c>
      <c r="AR49" s="10">
        <v>1716</v>
      </c>
      <c r="AS49" s="10">
        <v>1760</v>
      </c>
      <c r="AT49" s="10">
        <v>1760</v>
      </c>
      <c r="AU49" s="10">
        <f t="shared" si="5"/>
        <v>30052</v>
      </c>
    </row>
    <row r="50" spans="1:47" ht="18.5" x14ac:dyDescent="0.35">
      <c r="A50" s="25"/>
      <c r="B50" s="9" t="s">
        <v>19</v>
      </c>
      <c r="C50" s="10" t="s">
        <v>20</v>
      </c>
      <c r="D50" s="10" t="s">
        <v>81</v>
      </c>
      <c r="E50" s="10" t="s">
        <v>84</v>
      </c>
      <c r="F50" s="11">
        <v>0.5</v>
      </c>
      <c r="G50" s="11">
        <v>0</v>
      </c>
      <c r="H50" s="11">
        <v>0</v>
      </c>
      <c r="I50" s="11">
        <v>0</v>
      </c>
      <c r="J50" s="11">
        <v>1.5</v>
      </c>
      <c r="K50" s="11">
        <v>0.75</v>
      </c>
      <c r="L50" s="11">
        <v>1</v>
      </c>
      <c r="M50" s="11">
        <v>0.5</v>
      </c>
      <c r="N50" s="11">
        <v>1.25</v>
      </c>
      <c r="O50" s="11">
        <v>1.25</v>
      </c>
      <c r="P50" s="11">
        <v>0</v>
      </c>
      <c r="Q50" s="11">
        <v>0.75</v>
      </c>
      <c r="R50" s="11">
        <v>0.5</v>
      </c>
      <c r="S50" s="11">
        <v>0.5</v>
      </c>
      <c r="T50" s="11">
        <v>0</v>
      </c>
      <c r="U50" s="11">
        <v>0.75</v>
      </c>
      <c r="V50" s="11">
        <v>0.75</v>
      </c>
      <c r="W50" s="11">
        <v>0.5</v>
      </c>
      <c r="X50" s="11">
        <v>0.75</v>
      </c>
      <c r="Y50" s="11">
        <v>0.75</v>
      </c>
      <c r="Z50" s="11">
        <f t="shared" si="4"/>
        <v>0.6</v>
      </c>
      <c r="AA50" s="10">
        <v>1350</v>
      </c>
      <c r="AB50" s="10">
        <v>900</v>
      </c>
      <c r="AC50" s="10">
        <v>1170</v>
      </c>
      <c r="AD50" s="10">
        <v>1035</v>
      </c>
      <c r="AE50" s="10">
        <v>1710</v>
      </c>
      <c r="AF50" s="10">
        <v>1395</v>
      </c>
      <c r="AG50" s="10">
        <v>1800</v>
      </c>
      <c r="AH50" s="10">
        <v>1665</v>
      </c>
      <c r="AI50" s="10">
        <v>1710</v>
      </c>
      <c r="AJ50" s="10">
        <v>1620</v>
      </c>
      <c r="AK50" s="10">
        <v>1728</v>
      </c>
      <c r="AL50" s="10">
        <v>1776</v>
      </c>
      <c r="AM50" s="10">
        <v>1392</v>
      </c>
      <c r="AN50" s="10">
        <v>1488</v>
      </c>
      <c r="AO50" s="10">
        <v>1920</v>
      </c>
      <c r="AP50" s="10">
        <v>1488</v>
      </c>
      <c r="AQ50" s="10">
        <v>1488</v>
      </c>
      <c r="AR50" s="10">
        <v>1680</v>
      </c>
      <c r="AS50" s="10">
        <v>1920</v>
      </c>
      <c r="AT50" s="10">
        <v>1632</v>
      </c>
      <c r="AU50" s="10">
        <f t="shared" si="5"/>
        <v>30867</v>
      </c>
    </row>
    <row r="51" spans="1:47" ht="18.5" x14ac:dyDescent="0.35">
      <c r="A51" s="25"/>
      <c r="B51" s="9" t="s">
        <v>21</v>
      </c>
      <c r="C51" s="10" t="s">
        <v>22</v>
      </c>
      <c r="D51" s="10" t="s">
        <v>81</v>
      </c>
      <c r="E51" s="10" t="s">
        <v>85</v>
      </c>
      <c r="F51" s="11">
        <v>0.25</v>
      </c>
      <c r="G51" s="11">
        <v>1.25</v>
      </c>
      <c r="H51" s="11">
        <v>1.25</v>
      </c>
      <c r="I51" s="11">
        <v>0.5</v>
      </c>
      <c r="J51" s="11">
        <v>1</v>
      </c>
      <c r="K51" s="11">
        <v>1.25</v>
      </c>
      <c r="L51" s="11">
        <v>0</v>
      </c>
      <c r="M51" s="11">
        <v>1.25</v>
      </c>
      <c r="N51" s="11">
        <v>0.5</v>
      </c>
      <c r="O51" s="11">
        <v>0.25</v>
      </c>
      <c r="P51" s="11">
        <v>0</v>
      </c>
      <c r="Q51" s="11">
        <v>0.75</v>
      </c>
      <c r="R51" s="11">
        <v>0.25</v>
      </c>
      <c r="S51" s="11">
        <v>1.5</v>
      </c>
      <c r="T51" s="11">
        <v>0</v>
      </c>
      <c r="U51" s="11">
        <v>0.75</v>
      </c>
      <c r="V51" s="11">
        <v>0.25</v>
      </c>
      <c r="W51" s="11">
        <v>0.25</v>
      </c>
      <c r="X51" s="11">
        <v>0.25</v>
      </c>
      <c r="Y51" s="11">
        <v>0.25</v>
      </c>
      <c r="Z51" s="11">
        <f t="shared" si="4"/>
        <v>0.58750000000000002</v>
      </c>
      <c r="AA51" s="10">
        <v>1980</v>
      </c>
      <c r="AB51" s="10">
        <v>2200</v>
      </c>
      <c r="AC51" s="10">
        <v>2200</v>
      </c>
      <c r="AD51" s="10">
        <v>1870</v>
      </c>
      <c r="AE51" s="10">
        <v>2200</v>
      </c>
      <c r="AF51" s="10">
        <v>2200</v>
      </c>
      <c r="AG51" s="10">
        <v>2200</v>
      </c>
      <c r="AH51" s="10">
        <v>2200</v>
      </c>
      <c r="AI51" s="10">
        <v>2200</v>
      </c>
      <c r="AJ51" s="10">
        <v>2200</v>
      </c>
      <c r="AK51" s="10">
        <v>2016</v>
      </c>
      <c r="AL51" s="10">
        <v>2240</v>
      </c>
      <c r="AM51" s="10">
        <v>2072</v>
      </c>
      <c r="AN51" s="10">
        <v>2240</v>
      </c>
      <c r="AO51" s="10">
        <v>1960</v>
      </c>
      <c r="AP51" s="10">
        <v>2240</v>
      </c>
      <c r="AQ51" s="10">
        <v>2240</v>
      </c>
      <c r="AR51" s="10">
        <v>2240</v>
      </c>
      <c r="AS51" s="10">
        <v>2240</v>
      </c>
      <c r="AT51" s="10">
        <v>2184</v>
      </c>
      <c r="AU51" s="10">
        <f t="shared" si="5"/>
        <v>43122</v>
      </c>
    </row>
    <row r="52" spans="1:47" ht="18.5" x14ac:dyDescent="0.35">
      <c r="A52" s="25"/>
      <c r="B52" s="9" t="s">
        <v>23</v>
      </c>
      <c r="C52" s="10" t="s">
        <v>24</v>
      </c>
      <c r="D52" s="10" t="s">
        <v>82</v>
      </c>
      <c r="E52" s="10" t="s">
        <v>84</v>
      </c>
      <c r="F52" s="11">
        <v>0</v>
      </c>
      <c r="G52" s="11">
        <v>0</v>
      </c>
      <c r="H52" s="11">
        <v>0.25</v>
      </c>
      <c r="I52" s="11">
        <v>0</v>
      </c>
      <c r="J52" s="11">
        <v>0</v>
      </c>
      <c r="K52" s="11">
        <v>0.5</v>
      </c>
      <c r="L52" s="11">
        <v>0.5</v>
      </c>
      <c r="M52" s="11">
        <v>0.5</v>
      </c>
      <c r="N52" s="11">
        <v>0.5</v>
      </c>
      <c r="O52" s="11">
        <v>0.5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0.25</v>
      </c>
      <c r="V52" s="11">
        <v>0</v>
      </c>
      <c r="W52" s="11">
        <v>0.25</v>
      </c>
      <c r="X52" s="11">
        <v>0</v>
      </c>
      <c r="Y52" s="11">
        <v>0.5</v>
      </c>
      <c r="Z52" s="11">
        <f t="shared" si="4"/>
        <v>0.1875</v>
      </c>
      <c r="AA52" s="10">
        <v>1344</v>
      </c>
      <c r="AB52" s="10">
        <v>1680</v>
      </c>
      <c r="AC52" s="10">
        <v>2072</v>
      </c>
      <c r="AD52" s="10">
        <v>1848</v>
      </c>
      <c r="AE52" s="10">
        <v>1680</v>
      </c>
      <c r="AF52" s="10">
        <v>2240</v>
      </c>
      <c r="AG52" s="10">
        <v>2240</v>
      </c>
      <c r="AH52" s="10">
        <v>2240</v>
      </c>
      <c r="AI52" s="10">
        <v>2240</v>
      </c>
      <c r="AJ52" s="10">
        <v>2240</v>
      </c>
      <c r="AK52" s="10">
        <v>2584</v>
      </c>
      <c r="AL52" s="10">
        <v>2244</v>
      </c>
      <c r="AM52" s="10">
        <v>2108</v>
      </c>
      <c r="AN52" s="10">
        <v>2380</v>
      </c>
      <c r="AO52" s="10">
        <v>2720</v>
      </c>
      <c r="AP52" s="10">
        <v>2516</v>
      </c>
      <c r="AQ52" s="10">
        <v>2720</v>
      </c>
      <c r="AR52" s="10">
        <v>2720</v>
      </c>
      <c r="AS52" s="10">
        <v>2720</v>
      </c>
      <c r="AT52" s="10">
        <v>2720</v>
      </c>
      <c r="AU52" s="10">
        <f t="shared" si="5"/>
        <v>45256</v>
      </c>
    </row>
    <row r="53" spans="1:47" ht="18.5" x14ac:dyDescent="0.35">
      <c r="A53" s="25"/>
      <c r="B53" s="9" t="s">
        <v>25</v>
      </c>
      <c r="C53" s="10" t="s">
        <v>26</v>
      </c>
      <c r="D53" s="10" t="s">
        <v>81</v>
      </c>
      <c r="E53" s="10" t="s">
        <v>85</v>
      </c>
      <c r="F53" s="11">
        <v>0.75</v>
      </c>
      <c r="G53" s="11">
        <v>2.75</v>
      </c>
      <c r="H53" s="11">
        <v>1.5</v>
      </c>
      <c r="I53" s="11">
        <v>3</v>
      </c>
      <c r="J53" s="11">
        <v>3.25</v>
      </c>
      <c r="K53" s="11">
        <v>3.75</v>
      </c>
      <c r="L53" s="11">
        <v>3</v>
      </c>
      <c r="M53" s="11">
        <v>1</v>
      </c>
      <c r="N53" s="11">
        <v>2</v>
      </c>
      <c r="O53" s="11">
        <v>2</v>
      </c>
      <c r="P53" s="11">
        <v>0</v>
      </c>
      <c r="Q53" s="11" t="s">
        <v>75</v>
      </c>
      <c r="R53" s="11" t="s">
        <v>75</v>
      </c>
      <c r="S53" s="11" t="s">
        <v>75</v>
      </c>
      <c r="T53" s="11" t="s">
        <v>75</v>
      </c>
      <c r="U53" s="11" t="s">
        <v>75</v>
      </c>
      <c r="V53" s="11" t="s">
        <v>75</v>
      </c>
      <c r="W53" s="11" t="s">
        <v>75</v>
      </c>
      <c r="X53" s="11" t="s">
        <v>75</v>
      </c>
      <c r="Y53" s="11" t="s">
        <v>75</v>
      </c>
      <c r="Z53" s="11">
        <f t="shared" si="4"/>
        <v>2.0909090909090908</v>
      </c>
      <c r="AA53" s="10">
        <v>1700</v>
      </c>
      <c r="AB53" s="10">
        <v>1900</v>
      </c>
      <c r="AC53" s="10">
        <v>1950</v>
      </c>
      <c r="AD53" s="10">
        <v>2000</v>
      </c>
      <c r="AE53" s="10">
        <v>2000</v>
      </c>
      <c r="AF53" s="10">
        <v>2000</v>
      </c>
      <c r="AG53" s="10">
        <v>2000</v>
      </c>
      <c r="AH53" s="10">
        <v>1750</v>
      </c>
      <c r="AI53" s="10">
        <v>2000</v>
      </c>
      <c r="AJ53" s="10">
        <v>2000</v>
      </c>
      <c r="AK53" s="10">
        <v>2280</v>
      </c>
      <c r="AL53" s="11" t="s">
        <v>75</v>
      </c>
      <c r="AM53" s="11" t="s">
        <v>75</v>
      </c>
      <c r="AN53" s="11" t="s">
        <v>75</v>
      </c>
      <c r="AO53" s="11" t="s">
        <v>75</v>
      </c>
      <c r="AP53" s="11" t="s">
        <v>75</v>
      </c>
      <c r="AQ53" s="11" t="s">
        <v>75</v>
      </c>
      <c r="AR53" s="11" t="s">
        <v>75</v>
      </c>
      <c r="AS53" s="11" t="s">
        <v>75</v>
      </c>
      <c r="AT53" s="11" t="s">
        <v>75</v>
      </c>
      <c r="AU53" s="10">
        <f t="shared" si="5"/>
        <v>21580</v>
      </c>
    </row>
    <row r="54" spans="1:47" ht="18.5" x14ac:dyDescent="0.35">
      <c r="A54" s="25"/>
      <c r="B54" s="9" t="s">
        <v>27</v>
      </c>
      <c r="C54" s="10" t="s">
        <v>28</v>
      </c>
      <c r="D54" s="10" t="s">
        <v>81</v>
      </c>
      <c r="E54" s="10" t="s">
        <v>85</v>
      </c>
      <c r="F54" s="11">
        <v>1.5</v>
      </c>
      <c r="G54" s="11">
        <v>1.5</v>
      </c>
      <c r="H54" s="11">
        <v>1.75</v>
      </c>
      <c r="I54" s="11">
        <v>1.5</v>
      </c>
      <c r="J54" s="11">
        <v>1</v>
      </c>
      <c r="K54" s="11">
        <v>0.25</v>
      </c>
      <c r="L54" s="11">
        <v>0.5</v>
      </c>
      <c r="M54" s="11">
        <v>0.75</v>
      </c>
      <c r="N54" s="11">
        <v>0.75</v>
      </c>
      <c r="O54" s="11">
        <v>0.5</v>
      </c>
      <c r="P54" s="11">
        <v>2.5</v>
      </c>
      <c r="Q54" s="11">
        <v>0.5</v>
      </c>
      <c r="R54" s="11">
        <v>0</v>
      </c>
      <c r="S54" s="11">
        <v>0.5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f t="shared" si="4"/>
        <v>0.67500000000000004</v>
      </c>
      <c r="AA54" s="10">
        <v>2800</v>
      </c>
      <c r="AB54" s="10">
        <v>2800</v>
      </c>
      <c r="AC54" s="10">
        <v>2800</v>
      </c>
      <c r="AD54" s="10">
        <v>2800</v>
      </c>
      <c r="AE54" s="10">
        <v>2800</v>
      </c>
      <c r="AF54" s="10">
        <v>2800</v>
      </c>
      <c r="AG54" s="10">
        <v>2800</v>
      </c>
      <c r="AH54" s="10">
        <v>2800</v>
      </c>
      <c r="AI54" s="10">
        <v>2800</v>
      </c>
      <c r="AJ54" s="10">
        <v>2800</v>
      </c>
      <c r="AK54" s="10">
        <v>3192</v>
      </c>
      <c r="AL54" s="10">
        <v>2940</v>
      </c>
      <c r="AM54" s="10">
        <v>3360</v>
      </c>
      <c r="AN54" s="10">
        <v>3360</v>
      </c>
      <c r="AO54" s="10">
        <v>3360</v>
      </c>
      <c r="AP54" s="10">
        <v>3360</v>
      </c>
      <c r="AQ54" s="10">
        <v>3360</v>
      </c>
      <c r="AR54" s="10">
        <v>3360</v>
      </c>
      <c r="AS54" s="10">
        <v>3360</v>
      </c>
      <c r="AT54" s="10">
        <v>3360</v>
      </c>
      <c r="AU54" s="10">
        <f t="shared" si="5"/>
        <v>61012</v>
      </c>
    </row>
    <row r="55" spans="1:47" ht="18.5" x14ac:dyDescent="0.35">
      <c r="A55" s="25"/>
      <c r="B55" s="9" t="s">
        <v>29</v>
      </c>
      <c r="C55" s="10" t="s">
        <v>30</v>
      </c>
      <c r="D55" s="10" t="s">
        <v>81</v>
      </c>
      <c r="E55" s="10" t="s">
        <v>85</v>
      </c>
      <c r="F55" s="11">
        <v>1.625</v>
      </c>
      <c r="G55" s="11">
        <v>0.75</v>
      </c>
      <c r="H55" s="11">
        <v>2.5</v>
      </c>
      <c r="I55" s="11">
        <v>1</v>
      </c>
      <c r="J55" s="11">
        <v>0.25</v>
      </c>
      <c r="K55" s="11">
        <v>1.25</v>
      </c>
      <c r="L55" s="11">
        <v>1.25</v>
      </c>
      <c r="M55" s="11">
        <v>2.5</v>
      </c>
      <c r="N55" s="11">
        <v>1.75</v>
      </c>
      <c r="O55" s="11">
        <v>1</v>
      </c>
      <c r="P55" s="11">
        <v>0</v>
      </c>
      <c r="Q55" s="11">
        <v>0</v>
      </c>
      <c r="R55" s="11">
        <v>0.25</v>
      </c>
      <c r="S55" s="11">
        <v>0.25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0.75</v>
      </c>
      <c r="Z55" s="11">
        <f t="shared" si="4"/>
        <v>0.75624999999999998</v>
      </c>
      <c r="AA55" s="10">
        <v>2080</v>
      </c>
      <c r="AB55" s="10">
        <v>2080</v>
      </c>
      <c r="AC55" s="10">
        <v>2080</v>
      </c>
      <c r="AD55" s="10">
        <v>2080</v>
      </c>
      <c r="AE55" s="10">
        <v>1508</v>
      </c>
      <c r="AF55" s="10">
        <v>2080</v>
      </c>
      <c r="AG55" s="10">
        <v>2080</v>
      </c>
      <c r="AH55" s="10">
        <v>2080</v>
      </c>
      <c r="AI55" s="10">
        <v>2080</v>
      </c>
      <c r="AJ55" s="10">
        <v>2080</v>
      </c>
      <c r="AK55" s="10">
        <v>2850</v>
      </c>
      <c r="AL55" s="10">
        <v>3000</v>
      </c>
      <c r="AM55" s="10">
        <v>2775</v>
      </c>
      <c r="AN55" s="10">
        <v>3000</v>
      </c>
      <c r="AO55" s="10">
        <v>3000</v>
      </c>
      <c r="AP55" s="10">
        <v>2550</v>
      </c>
      <c r="AQ55" s="10">
        <v>2775</v>
      </c>
      <c r="AR55" s="10">
        <v>3000</v>
      </c>
      <c r="AS55" s="10">
        <v>3000</v>
      </c>
      <c r="AT55" s="10">
        <v>3000</v>
      </c>
      <c r="AU55" s="10">
        <f t="shared" si="5"/>
        <v>49178</v>
      </c>
    </row>
    <row r="56" spans="1:47" ht="18.5" x14ac:dyDescent="0.35">
      <c r="A56" s="25"/>
      <c r="B56" s="9" t="s">
        <v>31</v>
      </c>
      <c r="C56" s="10" t="s">
        <v>32</v>
      </c>
      <c r="D56" s="10" t="s">
        <v>82</v>
      </c>
      <c r="E56" s="10" t="s">
        <v>84</v>
      </c>
      <c r="F56" s="11">
        <v>1.5</v>
      </c>
      <c r="G56" s="11">
        <v>3.25</v>
      </c>
      <c r="H56" s="11">
        <v>0.5</v>
      </c>
      <c r="I56" s="11">
        <v>2.5</v>
      </c>
      <c r="J56" s="11">
        <v>0.75</v>
      </c>
      <c r="K56" s="11">
        <v>0.75</v>
      </c>
      <c r="L56" s="11">
        <v>2</v>
      </c>
      <c r="M56" s="11">
        <v>0.625</v>
      </c>
      <c r="N56" s="11">
        <v>0.75</v>
      </c>
      <c r="O56" s="11">
        <v>1.5</v>
      </c>
      <c r="P56" s="11">
        <v>1.25</v>
      </c>
      <c r="Q56" s="11">
        <v>2</v>
      </c>
      <c r="R56" s="11">
        <v>1.75</v>
      </c>
      <c r="S56" s="11">
        <v>1.5</v>
      </c>
      <c r="T56" s="11">
        <v>0.75</v>
      </c>
      <c r="U56" s="11">
        <v>0.5</v>
      </c>
      <c r="V56" s="11">
        <v>0.25</v>
      </c>
      <c r="W56" s="11">
        <v>2.25</v>
      </c>
      <c r="X56" s="11">
        <v>2.25</v>
      </c>
      <c r="Y56" s="11">
        <v>1.75</v>
      </c>
      <c r="Z56" s="11">
        <f t="shared" si="4"/>
        <v>1.41875</v>
      </c>
      <c r="AA56" s="10">
        <v>1216</v>
      </c>
      <c r="AB56" s="10">
        <v>1280</v>
      </c>
      <c r="AC56" s="10">
        <v>1184</v>
      </c>
      <c r="AD56" s="10">
        <v>1280</v>
      </c>
      <c r="AE56" s="10">
        <v>1280</v>
      </c>
      <c r="AF56" s="10">
        <v>1280</v>
      </c>
      <c r="AG56" s="10">
        <v>1280</v>
      </c>
      <c r="AH56" s="10">
        <v>1120</v>
      </c>
      <c r="AI56" s="10">
        <v>1280</v>
      </c>
      <c r="AJ56" s="10">
        <v>1280</v>
      </c>
      <c r="AK56" s="10">
        <v>1280</v>
      </c>
      <c r="AL56" s="10">
        <v>1280</v>
      </c>
      <c r="AM56" s="10">
        <v>1280</v>
      </c>
      <c r="AN56" s="10">
        <v>1280</v>
      </c>
      <c r="AO56" s="10">
        <v>1280</v>
      </c>
      <c r="AP56" s="10">
        <v>1280</v>
      </c>
      <c r="AQ56" s="10">
        <v>1280</v>
      </c>
      <c r="AR56" s="10">
        <v>1280</v>
      </c>
      <c r="AS56" s="10">
        <v>1280</v>
      </c>
      <c r="AT56" s="10">
        <v>1280</v>
      </c>
      <c r="AU56" s="10">
        <f t="shared" si="5"/>
        <v>25280</v>
      </c>
    </row>
    <row r="57" spans="1:47" ht="18.5" x14ac:dyDescent="0.35">
      <c r="A57" s="25"/>
      <c r="B57" s="9" t="s">
        <v>33</v>
      </c>
      <c r="C57" s="10" t="s">
        <v>34</v>
      </c>
      <c r="D57" s="10" t="s">
        <v>81</v>
      </c>
      <c r="E57" s="10" t="s">
        <v>84</v>
      </c>
      <c r="F57" s="11">
        <v>1.125</v>
      </c>
      <c r="G57" s="11">
        <v>0</v>
      </c>
      <c r="H57" s="11">
        <v>2.125</v>
      </c>
      <c r="I57" s="11">
        <v>1</v>
      </c>
      <c r="J57" s="11">
        <v>1.5</v>
      </c>
      <c r="K57" s="11">
        <v>3</v>
      </c>
      <c r="L57" s="11">
        <v>1.5</v>
      </c>
      <c r="M57" s="11">
        <v>1</v>
      </c>
      <c r="N57" s="11">
        <v>4.25</v>
      </c>
      <c r="O57" s="11">
        <v>0.5</v>
      </c>
      <c r="P57" s="11">
        <v>2.75</v>
      </c>
      <c r="Q57" s="11">
        <v>1.75</v>
      </c>
      <c r="R57" s="11">
        <v>2.5</v>
      </c>
      <c r="S57" s="11">
        <v>1.75</v>
      </c>
      <c r="T57" s="11">
        <v>2.5</v>
      </c>
      <c r="U57" s="11">
        <v>1.5</v>
      </c>
      <c r="V57" s="11">
        <v>0.75</v>
      </c>
      <c r="W57" s="11">
        <v>1.5</v>
      </c>
      <c r="X57" s="11">
        <v>2.25</v>
      </c>
      <c r="Y57" s="11">
        <v>1.25</v>
      </c>
      <c r="Z57" s="11">
        <f t="shared" si="4"/>
        <v>1.7250000000000001</v>
      </c>
      <c r="AA57" s="10">
        <v>2418</v>
      </c>
      <c r="AB57" s="10">
        <v>2418</v>
      </c>
      <c r="AC57" s="10">
        <v>2480</v>
      </c>
      <c r="AD57" s="10">
        <v>2480</v>
      </c>
      <c r="AE57" s="10">
        <v>2480</v>
      </c>
      <c r="AF57" s="10">
        <v>2480</v>
      </c>
      <c r="AG57" s="10">
        <v>2480</v>
      </c>
      <c r="AH57" s="10">
        <v>2294</v>
      </c>
      <c r="AI57" s="10">
        <v>2480</v>
      </c>
      <c r="AJ57" s="10">
        <v>2480</v>
      </c>
      <c r="AK57" s="10">
        <v>2720</v>
      </c>
      <c r="AL57" s="10">
        <v>2720</v>
      </c>
      <c r="AM57" s="10">
        <v>2720</v>
      </c>
      <c r="AN57" s="10">
        <v>2720</v>
      </c>
      <c r="AO57" s="10">
        <v>2720</v>
      </c>
      <c r="AP57" s="10">
        <v>2720</v>
      </c>
      <c r="AQ57" s="10">
        <v>2720</v>
      </c>
      <c r="AR57" s="10">
        <v>2720</v>
      </c>
      <c r="AS57" s="10">
        <v>2720</v>
      </c>
      <c r="AT57" s="10">
        <v>2720</v>
      </c>
      <c r="AU57" s="10">
        <f t="shared" si="5"/>
        <v>51690</v>
      </c>
    </row>
    <row r="58" spans="1:47" ht="18.5" x14ac:dyDescent="0.35">
      <c r="A58" s="25"/>
      <c r="B58" s="9" t="s">
        <v>35</v>
      </c>
      <c r="C58" s="10" t="s">
        <v>36</v>
      </c>
      <c r="D58" s="10" t="s">
        <v>82</v>
      </c>
      <c r="E58" s="10" t="s">
        <v>85</v>
      </c>
      <c r="F58" s="11">
        <v>1</v>
      </c>
      <c r="G58" s="11">
        <v>1.25</v>
      </c>
      <c r="H58" s="11">
        <v>1.75</v>
      </c>
      <c r="I58" s="11">
        <v>3.25</v>
      </c>
      <c r="J58" s="11">
        <v>3.25</v>
      </c>
      <c r="K58" s="11">
        <v>3.25</v>
      </c>
      <c r="L58" s="11">
        <v>2.75</v>
      </c>
      <c r="M58" s="11">
        <v>2.75</v>
      </c>
      <c r="N58" s="11">
        <v>2.75</v>
      </c>
      <c r="O58" s="11">
        <v>3.75</v>
      </c>
      <c r="P58" s="11">
        <v>2</v>
      </c>
      <c r="Q58" s="11">
        <v>2.75</v>
      </c>
      <c r="R58" s="11">
        <v>2.25</v>
      </c>
      <c r="S58" s="11">
        <v>3.25</v>
      </c>
      <c r="T58" s="11">
        <v>2.75</v>
      </c>
      <c r="U58" s="11">
        <v>3.125</v>
      </c>
      <c r="V58" s="11">
        <v>2.75</v>
      </c>
      <c r="W58" s="11">
        <v>5</v>
      </c>
      <c r="X58" s="11">
        <v>3.5</v>
      </c>
      <c r="Y58" s="11">
        <v>4.75</v>
      </c>
      <c r="Z58" s="11">
        <f t="shared" si="4"/>
        <v>2.8937499999999998</v>
      </c>
      <c r="AA58" s="10">
        <v>1452</v>
      </c>
      <c r="AB58" s="10">
        <v>1452</v>
      </c>
      <c r="AC58" s="10">
        <v>1760</v>
      </c>
      <c r="AD58" s="10">
        <v>1760</v>
      </c>
      <c r="AE58" s="10">
        <v>1760</v>
      </c>
      <c r="AF58" s="10">
        <v>1760</v>
      </c>
      <c r="AG58" s="10">
        <v>1760</v>
      </c>
      <c r="AH58" s="10">
        <v>1760</v>
      </c>
      <c r="AI58" s="10">
        <v>1760</v>
      </c>
      <c r="AJ58" s="10">
        <v>1760</v>
      </c>
      <c r="AK58" s="10">
        <v>2067</v>
      </c>
      <c r="AL58" s="10">
        <v>2120</v>
      </c>
      <c r="AM58" s="10">
        <v>2120</v>
      </c>
      <c r="AN58" s="10">
        <v>2120</v>
      </c>
      <c r="AO58" s="10">
        <v>2120</v>
      </c>
      <c r="AP58" s="10">
        <v>2120</v>
      </c>
      <c r="AQ58" s="10">
        <v>2120</v>
      </c>
      <c r="AR58" s="10">
        <v>2120</v>
      </c>
      <c r="AS58" s="10">
        <v>2120</v>
      </c>
      <c r="AT58" s="10">
        <v>2120</v>
      </c>
      <c r="AU58" s="10">
        <f t="shared" si="5"/>
        <v>38131</v>
      </c>
    </row>
    <row r="59" spans="1:47" ht="18.5" x14ac:dyDescent="0.35">
      <c r="A59" s="25"/>
      <c r="B59" s="9" t="s">
        <v>37</v>
      </c>
      <c r="C59" s="10" t="s">
        <v>38</v>
      </c>
      <c r="D59" s="10" t="s">
        <v>82</v>
      </c>
      <c r="E59" s="10" t="s">
        <v>85</v>
      </c>
      <c r="F59" s="11">
        <v>1.875</v>
      </c>
      <c r="G59" s="11" t="s">
        <v>75</v>
      </c>
      <c r="H59" s="11">
        <v>1</v>
      </c>
      <c r="I59" s="11">
        <v>1</v>
      </c>
      <c r="J59" s="11">
        <v>1.75</v>
      </c>
      <c r="K59" s="11">
        <v>1.25</v>
      </c>
      <c r="L59" s="11">
        <v>1.75</v>
      </c>
      <c r="M59" s="11">
        <v>0.75</v>
      </c>
      <c r="N59" s="11">
        <v>2.25</v>
      </c>
      <c r="O59" s="11">
        <v>1.25</v>
      </c>
      <c r="P59" s="11">
        <v>1.25</v>
      </c>
      <c r="Q59" s="11">
        <v>1</v>
      </c>
      <c r="R59" s="11">
        <v>1.25</v>
      </c>
      <c r="S59" s="11">
        <v>1.75</v>
      </c>
      <c r="T59" s="11">
        <v>1.25</v>
      </c>
      <c r="U59" s="11">
        <v>1</v>
      </c>
      <c r="V59" s="11">
        <v>1.5</v>
      </c>
      <c r="W59" s="11">
        <v>1</v>
      </c>
      <c r="X59" s="11">
        <v>1</v>
      </c>
      <c r="Y59" s="11">
        <v>1.25</v>
      </c>
      <c r="Z59" s="11">
        <f t="shared" si="4"/>
        <v>1.3223684210526316</v>
      </c>
      <c r="AA59" s="10">
        <v>2560</v>
      </c>
      <c r="AB59" s="11" t="s">
        <v>75</v>
      </c>
      <c r="AC59" s="10">
        <v>2560</v>
      </c>
      <c r="AD59" s="10">
        <v>2560</v>
      </c>
      <c r="AE59" s="10">
        <v>2560</v>
      </c>
      <c r="AF59" s="10">
        <v>2560</v>
      </c>
      <c r="AG59" s="10">
        <v>2560</v>
      </c>
      <c r="AH59" s="10">
        <v>2560</v>
      </c>
      <c r="AI59" s="10">
        <v>2560</v>
      </c>
      <c r="AJ59" s="10">
        <v>2560</v>
      </c>
      <c r="AK59" s="10">
        <v>2960</v>
      </c>
      <c r="AL59" s="10">
        <v>2220</v>
      </c>
      <c r="AM59" s="10">
        <v>2960</v>
      </c>
      <c r="AN59" s="10">
        <v>2960</v>
      </c>
      <c r="AO59" s="10">
        <v>2960</v>
      </c>
      <c r="AP59" s="10">
        <v>2960</v>
      </c>
      <c r="AQ59" s="10">
        <v>2960</v>
      </c>
      <c r="AR59" s="10">
        <v>2960</v>
      </c>
      <c r="AS59" s="10">
        <v>2960</v>
      </c>
      <c r="AT59" s="10">
        <v>2960</v>
      </c>
      <c r="AU59" s="10">
        <f t="shared" si="5"/>
        <v>51900</v>
      </c>
    </row>
    <row r="60" spans="1:47" ht="18.5" x14ac:dyDescent="0.35">
      <c r="A60" s="25"/>
      <c r="B60" s="9" t="s">
        <v>39</v>
      </c>
      <c r="C60" s="10" t="s">
        <v>40</v>
      </c>
      <c r="D60" s="10" t="s">
        <v>81</v>
      </c>
      <c r="E60" s="10" t="s">
        <v>85</v>
      </c>
      <c r="F60" s="11">
        <v>0.75</v>
      </c>
      <c r="G60" s="11">
        <v>1.5</v>
      </c>
      <c r="H60" s="11">
        <v>1</v>
      </c>
      <c r="I60" s="11">
        <v>1.625</v>
      </c>
      <c r="J60" s="11">
        <v>2.875</v>
      </c>
      <c r="K60" s="11">
        <v>2.25</v>
      </c>
      <c r="L60" s="11">
        <v>3.5</v>
      </c>
      <c r="M60" s="11">
        <v>3</v>
      </c>
      <c r="N60" s="11">
        <v>4</v>
      </c>
      <c r="O60" s="11">
        <v>2.75</v>
      </c>
      <c r="P60" s="11">
        <v>2.75</v>
      </c>
      <c r="Q60" s="11">
        <v>1.375</v>
      </c>
      <c r="R60" s="11">
        <v>4.5</v>
      </c>
      <c r="S60" s="11">
        <v>2.25</v>
      </c>
      <c r="T60" s="11">
        <v>3.3333333333333335</v>
      </c>
      <c r="U60" s="11">
        <v>3.625</v>
      </c>
      <c r="V60" s="11">
        <v>3</v>
      </c>
      <c r="W60" s="11">
        <v>3.25</v>
      </c>
      <c r="X60" s="11">
        <v>2.75</v>
      </c>
      <c r="Y60" s="11">
        <v>3.25</v>
      </c>
      <c r="Z60" s="11">
        <f t="shared" si="4"/>
        <v>2.666666666666667</v>
      </c>
      <c r="AA60" s="10">
        <v>1560</v>
      </c>
      <c r="AB60" s="10">
        <v>1521</v>
      </c>
      <c r="AC60" s="10">
        <v>1560</v>
      </c>
      <c r="AD60" s="10">
        <v>1560</v>
      </c>
      <c r="AE60" s="10">
        <v>1560</v>
      </c>
      <c r="AF60" s="10">
        <v>1560</v>
      </c>
      <c r="AG60" s="10">
        <v>1560</v>
      </c>
      <c r="AH60" s="10">
        <v>1560</v>
      </c>
      <c r="AI60" s="10">
        <v>1560</v>
      </c>
      <c r="AJ60" s="10">
        <v>1560</v>
      </c>
      <c r="AK60" s="10">
        <v>2080</v>
      </c>
      <c r="AL60" s="10">
        <v>2080</v>
      </c>
      <c r="AM60" s="10">
        <v>2080</v>
      </c>
      <c r="AN60" s="10">
        <v>2080</v>
      </c>
      <c r="AO60" s="10">
        <v>2080</v>
      </c>
      <c r="AP60" s="10">
        <v>2080</v>
      </c>
      <c r="AQ60" s="10">
        <v>2080</v>
      </c>
      <c r="AR60" s="10">
        <v>2080</v>
      </c>
      <c r="AS60" s="10">
        <v>2080</v>
      </c>
      <c r="AT60" s="10">
        <v>2080</v>
      </c>
      <c r="AU60" s="10">
        <f t="shared" si="5"/>
        <v>36361</v>
      </c>
    </row>
    <row r="61" spans="1:47" ht="18.5" x14ac:dyDescent="0.35">
      <c r="A61" s="25"/>
      <c r="B61" s="9" t="s">
        <v>41</v>
      </c>
      <c r="C61" s="10" t="s">
        <v>42</v>
      </c>
      <c r="D61" s="10" t="s">
        <v>82</v>
      </c>
      <c r="E61" s="10" t="s">
        <v>85</v>
      </c>
      <c r="F61" s="11">
        <v>0.25</v>
      </c>
      <c r="G61" s="11">
        <v>1</v>
      </c>
      <c r="H61" s="11">
        <v>0.875</v>
      </c>
      <c r="I61" s="11">
        <v>1.75</v>
      </c>
      <c r="J61" s="11">
        <v>2</v>
      </c>
      <c r="K61" s="11">
        <v>1.375</v>
      </c>
      <c r="L61" s="11">
        <v>3.125</v>
      </c>
      <c r="M61" s="11">
        <v>2.25</v>
      </c>
      <c r="N61" s="11">
        <v>1</v>
      </c>
      <c r="O61" s="11">
        <v>1.875</v>
      </c>
      <c r="P61" s="11">
        <v>1.625</v>
      </c>
      <c r="Q61" s="11">
        <v>2.5</v>
      </c>
      <c r="R61" s="11">
        <v>1.25</v>
      </c>
      <c r="S61" s="11">
        <v>2</v>
      </c>
      <c r="T61" s="11">
        <v>0.75</v>
      </c>
      <c r="U61" s="11">
        <v>1.75</v>
      </c>
      <c r="V61" s="11">
        <v>1.5</v>
      </c>
      <c r="W61" s="11">
        <v>1.5</v>
      </c>
      <c r="X61" s="11">
        <v>0.75</v>
      </c>
      <c r="Y61" s="11">
        <v>1.25</v>
      </c>
      <c r="Z61" s="11">
        <f t="shared" si="4"/>
        <v>1.51875</v>
      </c>
      <c r="AA61" s="10">
        <v>2128</v>
      </c>
      <c r="AB61" s="10">
        <v>2240</v>
      </c>
      <c r="AC61" s="10">
        <v>2016</v>
      </c>
      <c r="AD61" s="10">
        <v>2240</v>
      </c>
      <c r="AE61" s="10">
        <v>2240</v>
      </c>
      <c r="AF61" s="10">
        <v>2240</v>
      </c>
      <c r="AG61" s="10">
        <v>2240</v>
      </c>
      <c r="AH61" s="10">
        <v>2240</v>
      </c>
      <c r="AI61" s="10">
        <v>2240</v>
      </c>
      <c r="AJ61" s="10">
        <v>2240</v>
      </c>
      <c r="AK61" s="10">
        <v>2240</v>
      </c>
      <c r="AL61" s="10">
        <v>2240</v>
      </c>
      <c r="AM61" s="10">
        <v>2240</v>
      </c>
      <c r="AN61" s="10">
        <v>2240</v>
      </c>
      <c r="AO61" s="10">
        <v>2240</v>
      </c>
      <c r="AP61" s="10">
        <v>2240</v>
      </c>
      <c r="AQ61" s="10">
        <v>2240</v>
      </c>
      <c r="AR61" s="10">
        <v>2240</v>
      </c>
      <c r="AS61" s="10">
        <v>2240</v>
      </c>
      <c r="AT61" s="10">
        <v>2240</v>
      </c>
      <c r="AU61" s="10">
        <f t="shared" si="5"/>
        <v>44464</v>
      </c>
    </row>
    <row r="62" spans="1:47" ht="18.5" x14ac:dyDescent="0.35">
      <c r="A62" s="25"/>
      <c r="B62" s="9" t="s">
        <v>43</v>
      </c>
      <c r="C62" s="10" t="s">
        <v>44</v>
      </c>
      <c r="D62" s="10" t="s">
        <v>82</v>
      </c>
      <c r="E62" s="10" t="s">
        <v>84</v>
      </c>
      <c r="F62" s="11">
        <v>0.5</v>
      </c>
      <c r="G62" s="11">
        <v>0.75</v>
      </c>
      <c r="H62" s="11">
        <v>0.5</v>
      </c>
      <c r="I62" s="11">
        <v>0.25</v>
      </c>
      <c r="J62" s="11">
        <v>0</v>
      </c>
      <c r="K62" s="11">
        <v>0</v>
      </c>
      <c r="L62" s="11">
        <v>1</v>
      </c>
      <c r="M62" s="11">
        <v>0.75</v>
      </c>
      <c r="N62" s="11">
        <v>2.25</v>
      </c>
      <c r="O62" s="11">
        <v>1.5</v>
      </c>
      <c r="P62" s="11">
        <v>1</v>
      </c>
      <c r="Q62" s="11">
        <v>1</v>
      </c>
      <c r="R62" s="11">
        <v>1.5</v>
      </c>
      <c r="S62" s="11">
        <v>1.75</v>
      </c>
      <c r="T62" s="11">
        <v>0.75</v>
      </c>
      <c r="U62" s="11">
        <v>2</v>
      </c>
      <c r="V62" s="11">
        <v>1</v>
      </c>
      <c r="W62" s="11">
        <v>1</v>
      </c>
      <c r="X62" s="11">
        <v>0.75</v>
      </c>
      <c r="Y62" s="11">
        <v>1.5</v>
      </c>
      <c r="Z62" s="11">
        <f t="shared" si="4"/>
        <v>0.98750000000000004</v>
      </c>
      <c r="AA62" s="10">
        <v>1768</v>
      </c>
      <c r="AB62" s="10">
        <v>2028</v>
      </c>
      <c r="AC62" s="10">
        <v>2028</v>
      </c>
      <c r="AD62" s="10">
        <v>2080</v>
      </c>
      <c r="AE62" s="10">
        <v>1664</v>
      </c>
      <c r="AF62" s="10">
        <v>2080</v>
      </c>
      <c r="AG62" s="10">
        <v>2080</v>
      </c>
      <c r="AH62" s="10">
        <v>2028</v>
      </c>
      <c r="AI62" s="10">
        <v>2080</v>
      </c>
      <c r="AJ62" s="10">
        <v>2080</v>
      </c>
      <c r="AK62" s="10">
        <v>2223</v>
      </c>
      <c r="AL62" s="10">
        <v>2280</v>
      </c>
      <c r="AM62" s="10">
        <v>2280</v>
      </c>
      <c r="AN62" s="10">
        <v>2280</v>
      </c>
      <c r="AO62" s="10">
        <v>2280</v>
      </c>
      <c r="AP62" s="10">
        <v>2280</v>
      </c>
      <c r="AQ62" s="10">
        <v>2280</v>
      </c>
      <c r="AR62" s="10">
        <v>2280</v>
      </c>
      <c r="AS62" s="10">
        <v>2280</v>
      </c>
      <c r="AT62" s="10">
        <v>2280</v>
      </c>
      <c r="AU62" s="10">
        <f t="shared" si="5"/>
        <v>42659</v>
      </c>
    </row>
    <row r="63" spans="1:47" ht="18.5" x14ac:dyDescent="0.35">
      <c r="A63" s="25"/>
      <c r="B63" s="9" t="s">
        <v>45</v>
      </c>
      <c r="C63" s="10" t="s">
        <v>46</v>
      </c>
      <c r="D63" s="10" t="s">
        <v>81</v>
      </c>
      <c r="E63" s="10" t="s">
        <v>85</v>
      </c>
      <c r="F63" s="11">
        <v>0.5</v>
      </c>
      <c r="G63" s="11">
        <v>1.25</v>
      </c>
      <c r="H63" s="11">
        <v>1</v>
      </c>
      <c r="I63" s="11">
        <v>1.25</v>
      </c>
      <c r="J63" s="11">
        <v>1.25</v>
      </c>
      <c r="K63" s="11">
        <v>2</v>
      </c>
      <c r="L63" s="11">
        <v>1.5</v>
      </c>
      <c r="M63" s="11">
        <v>2.5</v>
      </c>
      <c r="N63" s="11">
        <v>2.125</v>
      </c>
      <c r="O63" s="11">
        <v>2</v>
      </c>
      <c r="P63" s="11">
        <v>0.5</v>
      </c>
      <c r="Q63" s="11">
        <v>1.25</v>
      </c>
      <c r="R63" s="11">
        <v>2</v>
      </c>
      <c r="S63" s="11">
        <v>2</v>
      </c>
      <c r="T63" s="11">
        <v>1.25</v>
      </c>
      <c r="U63" s="11">
        <v>2</v>
      </c>
      <c r="V63" s="11">
        <v>2</v>
      </c>
      <c r="W63" s="11">
        <v>2.5</v>
      </c>
      <c r="X63" s="11">
        <v>2.75</v>
      </c>
      <c r="Y63" s="11">
        <v>2.75</v>
      </c>
      <c r="Z63" s="11">
        <f t="shared" si="4"/>
        <v>1.71875</v>
      </c>
      <c r="AA63" s="10">
        <v>1920</v>
      </c>
      <c r="AB63" s="10">
        <v>2112</v>
      </c>
      <c r="AC63" s="10">
        <v>2112</v>
      </c>
      <c r="AD63" s="10">
        <v>2176</v>
      </c>
      <c r="AE63" s="10">
        <v>1984</v>
      </c>
      <c r="AF63" s="10">
        <v>2560</v>
      </c>
      <c r="AG63" s="10">
        <v>2560</v>
      </c>
      <c r="AH63" s="10">
        <v>2560</v>
      </c>
      <c r="AI63" s="10">
        <v>2560</v>
      </c>
      <c r="AJ63" s="10">
        <v>2560</v>
      </c>
      <c r="AK63" s="10">
        <v>2720</v>
      </c>
      <c r="AL63" s="10">
        <v>2720</v>
      </c>
      <c r="AM63" s="10">
        <v>2720</v>
      </c>
      <c r="AN63" s="10">
        <v>2720</v>
      </c>
      <c r="AO63" s="10">
        <v>2720</v>
      </c>
      <c r="AP63" s="10">
        <v>2720</v>
      </c>
      <c r="AQ63" s="10">
        <v>2720</v>
      </c>
      <c r="AR63" s="10">
        <v>2720</v>
      </c>
      <c r="AS63" s="10">
        <v>2720</v>
      </c>
      <c r="AT63" s="10">
        <v>2720</v>
      </c>
      <c r="AU63" s="10">
        <f t="shared" si="5"/>
        <v>50304</v>
      </c>
    </row>
    <row r="64" spans="1:47" ht="18.5" x14ac:dyDescent="0.35">
      <c r="A64" s="25"/>
      <c r="B64" s="9" t="s">
        <v>47</v>
      </c>
      <c r="C64" s="10" t="s">
        <v>48</v>
      </c>
      <c r="D64" s="10" t="s">
        <v>82</v>
      </c>
      <c r="E64" s="10" t="s">
        <v>84</v>
      </c>
      <c r="F64" s="11">
        <v>0.25</v>
      </c>
      <c r="G64" s="11">
        <v>0.5</v>
      </c>
      <c r="H64" s="11">
        <v>0.75</v>
      </c>
      <c r="I64" s="11">
        <v>0.5</v>
      </c>
      <c r="J64" s="11">
        <v>0.25</v>
      </c>
      <c r="K64" s="11">
        <v>0.25</v>
      </c>
      <c r="L64" s="11">
        <v>0.75</v>
      </c>
      <c r="M64" s="11">
        <v>0.75</v>
      </c>
      <c r="N64" s="11">
        <v>1</v>
      </c>
      <c r="O64" s="11">
        <v>0.5</v>
      </c>
      <c r="P64" s="11">
        <v>0.5</v>
      </c>
      <c r="Q64" s="11">
        <v>0.75</v>
      </c>
      <c r="R64" s="11">
        <v>1</v>
      </c>
      <c r="S64" s="11">
        <v>1</v>
      </c>
      <c r="T64" s="11">
        <v>0.75</v>
      </c>
      <c r="U64" s="11">
        <v>0.75</v>
      </c>
      <c r="V64" s="11">
        <v>0.75</v>
      </c>
      <c r="W64" s="11">
        <v>0.5</v>
      </c>
      <c r="X64" s="11">
        <v>1</v>
      </c>
      <c r="Y64" s="11">
        <v>0.75</v>
      </c>
      <c r="Z64" s="11">
        <f t="shared" si="4"/>
        <v>0.66249999999999998</v>
      </c>
      <c r="AA64" s="10">
        <v>1820</v>
      </c>
      <c r="AB64" s="10">
        <v>2080</v>
      </c>
      <c r="AC64" s="10">
        <v>2080</v>
      </c>
      <c r="AD64" s="10">
        <v>2080</v>
      </c>
      <c r="AE64" s="10">
        <v>1716</v>
      </c>
      <c r="AF64" s="10">
        <v>1924</v>
      </c>
      <c r="AG64" s="10">
        <v>2080</v>
      </c>
      <c r="AH64" s="10">
        <v>2080</v>
      </c>
      <c r="AI64" s="10">
        <v>2080</v>
      </c>
      <c r="AJ64" s="10">
        <v>2080</v>
      </c>
      <c r="AK64" s="10">
        <v>2080</v>
      </c>
      <c r="AL64" s="10">
        <v>2080</v>
      </c>
      <c r="AM64" s="10">
        <v>2080</v>
      </c>
      <c r="AN64" s="10">
        <v>2080</v>
      </c>
      <c r="AO64" s="10">
        <v>2080</v>
      </c>
      <c r="AP64" s="10">
        <v>2080</v>
      </c>
      <c r="AQ64" s="10">
        <v>2080</v>
      </c>
      <c r="AR64" s="10">
        <v>2080</v>
      </c>
      <c r="AS64" s="10">
        <v>2080</v>
      </c>
      <c r="AT64" s="10">
        <v>2080</v>
      </c>
      <c r="AU64" s="10">
        <f t="shared" si="5"/>
        <v>40820</v>
      </c>
    </row>
    <row r="65" spans="1:47" ht="18.5" x14ac:dyDescent="0.35">
      <c r="A65" s="25"/>
      <c r="B65" s="9" t="s">
        <v>49</v>
      </c>
      <c r="C65" s="10" t="s">
        <v>50</v>
      </c>
      <c r="D65" s="10" t="s">
        <v>81</v>
      </c>
      <c r="E65" s="10" t="s">
        <v>85</v>
      </c>
      <c r="F65" s="11">
        <v>0.25</v>
      </c>
      <c r="G65" s="11">
        <v>0.25</v>
      </c>
      <c r="H65" s="11">
        <v>0.75</v>
      </c>
      <c r="I65" s="11">
        <v>1.25</v>
      </c>
      <c r="J65" s="11">
        <v>2.125</v>
      </c>
      <c r="K65" s="11">
        <v>1.25</v>
      </c>
      <c r="L65" s="11">
        <v>2</v>
      </c>
      <c r="M65" s="11">
        <v>1.25</v>
      </c>
      <c r="N65" s="11">
        <v>4.5</v>
      </c>
      <c r="O65" s="11">
        <v>1.875</v>
      </c>
      <c r="P65" s="11">
        <v>0.875</v>
      </c>
      <c r="Q65" s="11">
        <v>0.75</v>
      </c>
      <c r="R65" s="11">
        <v>2.375</v>
      </c>
      <c r="S65" s="11">
        <v>1</v>
      </c>
      <c r="T65" s="11">
        <v>1.5</v>
      </c>
      <c r="U65" s="11">
        <v>0.25</v>
      </c>
      <c r="V65" s="11">
        <v>1.375</v>
      </c>
      <c r="W65" s="11">
        <v>1.5</v>
      </c>
      <c r="X65" s="11">
        <v>0.5</v>
      </c>
      <c r="Y65" s="11">
        <v>1.375</v>
      </c>
      <c r="Z65" s="11">
        <f t="shared" si="4"/>
        <v>1.35</v>
      </c>
      <c r="AA65" s="10">
        <v>896</v>
      </c>
      <c r="AB65" s="10">
        <v>1036</v>
      </c>
      <c r="AC65" s="10">
        <v>1120</v>
      </c>
      <c r="AD65" s="10">
        <v>1120</v>
      </c>
      <c r="AE65" s="10">
        <v>1120</v>
      </c>
      <c r="AF65" s="10">
        <v>1120</v>
      </c>
      <c r="AG65" s="10">
        <v>1120</v>
      </c>
      <c r="AH65" s="10">
        <v>1120</v>
      </c>
      <c r="AI65" s="10">
        <v>1120</v>
      </c>
      <c r="AJ65" s="10">
        <v>1120</v>
      </c>
      <c r="AK65" s="10">
        <v>1332</v>
      </c>
      <c r="AL65" s="10">
        <v>1440</v>
      </c>
      <c r="AM65" s="10">
        <v>1440</v>
      </c>
      <c r="AN65" s="10">
        <v>1440</v>
      </c>
      <c r="AO65" s="10">
        <v>1440</v>
      </c>
      <c r="AP65" s="10">
        <v>1440</v>
      </c>
      <c r="AQ65" s="10">
        <v>1440</v>
      </c>
      <c r="AR65" s="10">
        <v>1440</v>
      </c>
      <c r="AS65" s="10">
        <v>1404</v>
      </c>
      <c r="AT65" s="10">
        <v>1440</v>
      </c>
      <c r="AU65" s="10">
        <f t="shared" si="5"/>
        <v>25148</v>
      </c>
    </row>
    <row r="66" spans="1:47" ht="18.5" x14ac:dyDescent="0.35">
      <c r="A66" s="25"/>
      <c r="B66" s="9" t="s">
        <v>51</v>
      </c>
      <c r="C66" s="10" t="s">
        <v>52</v>
      </c>
      <c r="D66" s="10" t="s">
        <v>81</v>
      </c>
      <c r="E66" s="10" t="s">
        <v>85</v>
      </c>
      <c r="F66" s="11">
        <v>0.75</v>
      </c>
      <c r="G66" s="11">
        <v>0.5</v>
      </c>
      <c r="H66" s="11">
        <v>1.25</v>
      </c>
      <c r="I66" s="11">
        <v>0.25</v>
      </c>
      <c r="J66" s="11">
        <v>0.75</v>
      </c>
      <c r="K66" s="11">
        <v>0.75</v>
      </c>
      <c r="L66" s="11">
        <v>1.25</v>
      </c>
      <c r="M66" s="11">
        <v>0.5</v>
      </c>
      <c r="N66" s="11">
        <v>0.75</v>
      </c>
      <c r="O66" s="11">
        <v>0.25</v>
      </c>
      <c r="P66" s="11">
        <v>0.5</v>
      </c>
      <c r="Q66" s="11">
        <v>1.5</v>
      </c>
      <c r="R66" s="11">
        <v>1.25</v>
      </c>
      <c r="S66" s="11">
        <v>1.5</v>
      </c>
      <c r="T66" s="11">
        <v>1.25</v>
      </c>
      <c r="U66" s="11">
        <v>1.75</v>
      </c>
      <c r="V66" s="11">
        <v>1.5</v>
      </c>
      <c r="W66" s="11">
        <v>0.75</v>
      </c>
      <c r="X66" s="11">
        <v>2.5</v>
      </c>
      <c r="Y66" s="11">
        <v>0.625</v>
      </c>
      <c r="Z66" s="11">
        <f t="shared" si="4"/>
        <v>1.0062500000000001</v>
      </c>
      <c r="AA66" s="10">
        <v>2280</v>
      </c>
      <c r="AB66" s="10">
        <v>2400</v>
      </c>
      <c r="AC66" s="10">
        <v>2220</v>
      </c>
      <c r="AD66" s="10">
        <v>2100</v>
      </c>
      <c r="AE66" s="10">
        <v>2400</v>
      </c>
      <c r="AF66" s="10">
        <v>2160</v>
      </c>
      <c r="AG66" s="10">
        <v>2400</v>
      </c>
      <c r="AH66" s="10">
        <v>2160</v>
      </c>
      <c r="AI66" s="10">
        <v>2400</v>
      </c>
      <c r="AJ66" s="10">
        <v>2100</v>
      </c>
      <c r="AK66" s="10">
        <v>2400</v>
      </c>
      <c r="AL66" s="10">
        <v>2400</v>
      </c>
      <c r="AM66" s="10">
        <v>2400</v>
      </c>
      <c r="AN66" s="10">
        <v>2400</v>
      </c>
      <c r="AO66" s="10">
        <v>2400</v>
      </c>
      <c r="AP66" s="10">
        <v>2400</v>
      </c>
      <c r="AQ66" s="10">
        <v>2400</v>
      </c>
      <c r="AR66" s="10">
        <v>2400</v>
      </c>
      <c r="AS66" s="10">
        <v>2400</v>
      </c>
      <c r="AT66" s="10">
        <v>2280</v>
      </c>
      <c r="AU66" s="10">
        <f t="shared" si="5"/>
        <v>46500</v>
      </c>
    </row>
    <row r="67" spans="1:47" ht="18.5" x14ac:dyDescent="0.35">
      <c r="A67" s="25"/>
      <c r="B67" s="9" t="s">
        <v>53</v>
      </c>
      <c r="C67" s="10" t="s">
        <v>54</v>
      </c>
      <c r="D67" s="10" t="s">
        <v>81</v>
      </c>
      <c r="E67" s="10" t="s">
        <v>84</v>
      </c>
      <c r="F67" s="11">
        <v>0</v>
      </c>
      <c r="G67" s="11">
        <v>1</v>
      </c>
      <c r="H67" s="11">
        <v>0.5</v>
      </c>
      <c r="I67" s="11">
        <v>0.5</v>
      </c>
      <c r="J67" s="11">
        <v>0.75</v>
      </c>
      <c r="K67" s="11">
        <v>0</v>
      </c>
      <c r="L67" s="11">
        <v>0</v>
      </c>
      <c r="M67" s="11">
        <v>2</v>
      </c>
      <c r="N67" s="11">
        <v>2.25</v>
      </c>
      <c r="O67" s="11">
        <v>2</v>
      </c>
      <c r="P67" s="11">
        <v>0</v>
      </c>
      <c r="Q67" s="11">
        <v>1.25</v>
      </c>
      <c r="R67" s="11">
        <v>1.25</v>
      </c>
      <c r="S67" s="11">
        <v>0.5</v>
      </c>
      <c r="T67" s="11">
        <v>0</v>
      </c>
      <c r="U67" s="11">
        <v>0.5</v>
      </c>
      <c r="V67" s="11">
        <v>1</v>
      </c>
      <c r="W67" s="11">
        <v>2</v>
      </c>
      <c r="X67" s="11">
        <v>0</v>
      </c>
      <c r="Y67" s="11">
        <v>1.5</v>
      </c>
      <c r="Z67" s="11">
        <f t="shared" si="4"/>
        <v>0.85</v>
      </c>
      <c r="AA67" s="10">
        <v>1102</v>
      </c>
      <c r="AB67" s="10">
        <v>1406</v>
      </c>
      <c r="AC67" s="10">
        <v>1216</v>
      </c>
      <c r="AD67" s="10">
        <v>1406</v>
      </c>
      <c r="AE67" s="10">
        <v>1520</v>
      </c>
      <c r="AF67" s="10">
        <v>1520</v>
      </c>
      <c r="AG67" s="10">
        <v>1482</v>
      </c>
      <c r="AH67" s="10">
        <v>1520</v>
      </c>
      <c r="AI67" s="10">
        <v>1520</v>
      </c>
      <c r="AJ67" s="10">
        <v>1520</v>
      </c>
      <c r="AK67" s="10">
        <v>1680</v>
      </c>
      <c r="AL67" s="10">
        <v>1680</v>
      </c>
      <c r="AM67" s="10">
        <v>1680</v>
      </c>
      <c r="AN67" s="10">
        <v>1680</v>
      </c>
      <c r="AO67" s="10">
        <v>1596</v>
      </c>
      <c r="AP67" s="10">
        <v>1596</v>
      </c>
      <c r="AQ67" s="10">
        <v>1680</v>
      </c>
      <c r="AR67" s="10">
        <v>1680</v>
      </c>
      <c r="AS67" s="10">
        <v>1680</v>
      </c>
      <c r="AT67" s="10">
        <v>1680</v>
      </c>
      <c r="AU67" s="10">
        <f t="shared" si="5"/>
        <v>30844</v>
      </c>
    </row>
    <row r="68" spans="1:47" ht="18.5" x14ac:dyDescent="0.35">
      <c r="A68" s="25"/>
      <c r="B68" s="9" t="s">
        <v>55</v>
      </c>
      <c r="C68" s="10" t="s">
        <v>56</v>
      </c>
      <c r="D68" s="10" t="s">
        <v>82</v>
      </c>
      <c r="E68" s="10" t="s">
        <v>84</v>
      </c>
      <c r="F68" s="11">
        <v>0.5</v>
      </c>
      <c r="G68" s="11">
        <v>0.25</v>
      </c>
      <c r="H68" s="11">
        <v>0</v>
      </c>
      <c r="I68" s="11">
        <v>0</v>
      </c>
      <c r="J68" s="11">
        <v>0</v>
      </c>
      <c r="K68" s="11">
        <v>0</v>
      </c>
      <c r="L68" s="11">
        <v>0.5</v>
      </c>
      <c r="M68" s="11">
        <v>0</v>
      </c>
      <c r="N68" s="11">
        <v>0.25</v>
      </c>
      <c r="O68" s="11">
        <v>0.25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f t="shared" si="4"/>
        <v>8.7499999999999994E-2</v>
      </c>
      <c r="AA68" s="10">
        <v>588</v>
      </c>
      <c r="AB68" s="10">
        <v>868</v>
      </c>
      <c r="AC68" s="10">
        <v>896</v>
      </c>
      <c r="AD68" s="10">
        <v>924</v>
      </c>
      <c r="AE68" s="10">
        <v>1120</v>
      </c>
      <c r="AF68" s="10">
        <v>1036</v>
      </c>
      <c r="AG68" s="10">
        <v>1120</v>
      </c>
      <c r="AH68" s="10">
        <v>1120</v>
      </c>
      <c r="AI68" s="10">
        <v>1120</v>
      </c>
      <c r="AJ68" s="10">
        <v>1092</v>
      </c>
      <c r="AK68" s="10">
        <v>1020</v>
      </c>
      <c r="AL68" s="10">
        <v>1020</v>
      </c>
      <c r="AM68" s="10">
        <v>1122</v>
      </c>
      <c r="AN68" s="10">
        <v>1122</v>
      </c>
      <c r="AO68" s="10">
        <v>1156</v>
      </c>
      <c r="AP68" s="10">
        <v>1054</v>
      </c>
      <c r="AQ68" s="10">
        <v>1360</v>
      </c>
      <c r="AR68" s="10">
        <v>1292</v>
      </c>
      <c r="AS68" s="10">
        <v>1292</v>
      </c>
      <c r="AT68" s="10">
        <v>1360</v>
      </c>
      <c r="AU68" s="10">
        <f t="shared" si="5"/>
        <v>21682</v>
      </c>
    </row>
    <row r="69" spans="1:47" ht="18.5" x14ac:dyDescent="0.35">
      <c r="A69" s="25"/>
      <c r="B69" s="9" t="s">
        <v>57</v>
      </c>
      <c r="C69" s="10" t="s">
        <v>58</v>
      </c>
      <c r="D69" s="10" t="s">
        <v>82</v>
      </c>
      <c r="E69" s="10" t="s">
        <v>85</v>
      </c>
      <c r="F69" s="11">
        <v>1.5</v>
      </c>
      <c r="G69" s="11">
        <v>0.75</v>
      </c>
      <c r="H69" s="11">
        <v>1.25</v>
      </c>
      <c r="I69" s="11">
        <v>1</v>
      </c>
      <c r="J69" s="11">
        <v>2.25</v>
      </c>
      <c r="K69" s="11">
        <v>2</v>
      </c>
      <c r="L69" s="11">
        <v>1.75</v>
      </c>
      <c r="M69" s="11">
        <v>2.5</v>
      </c>
      <c r="N69" s="11">
        <v>3.75</v>
      </c>
      <c r="O69" s="11">
        <v>2</v>
      </c>
      <c r="P69" s="11">
        <v>0.75</v>
      </c>
      <c r="Q69" s="11">
        <v>1.75</v>
      </c>
      <c r="R69" s="11">
        <v>2.75</v>
      </c>
      <c r="S69" s="11">
        <v>2.75</v>
      </c>
      <c r="T69" s="11">
        <v>2</v>
      </c>
      <c r="U69" s="11">
        <v>1.5</v>
      </c>
      <c r="V69" s="11">
        <v>2.25</v>
      </c>
      <c r="W69" s="11">
        <v>1</v>
      </c>
      <c r="X69" s="11">
        <v>2.5</v>
      </c>
      <c r="Y69" s="11">
        <v>2</v>
      </c>
      <c r="Z69" s="11">
        <f t="shared" si="4"/>
        <v>1.9</v>
      </c>
      <c r="AA69" s="10">
        <v>2480</v>
      </c>
      <c r="AB69" s="10">
        <v>1922</v>
      </c>
      <c r="AC69" s="10">
        <v>2480</v>
      </c>
      <c r="AD69" s="10">
        <v>2480</v>
      </c>
      <c r="AE69" s="10">
        <v>2480</v>
      </c>
      <c r="AF69" s="10">
        <v>2480</v>
      </c>
      <c r="AG69" s="10">
        <v>2480</v>
      </c>
      <c r="AH69" s="10">
        <v>2480</v>
      </c>
      <c r="AI69" s="10">
        <v>2480</v>
      </c>
      <c r="AJ69" s="10">
        <v>2480</v>
      </c>
      <c r="AK69" s="10">
        <v>2760</v>
      </c>
      <c r="AL69" s="10">
        <v>2760</v>
      </c>
      <c r="AM69" s="10">
        <v>2760</v>
      </c>
      <c r="AN69" s="10">
        <v>2760</v>
      </c>
      <c r="AO69" s="10">
        <v>2760</v>
      </c>
      <c r="AP69" s="10">
        <v>2760</v>
      </c>
      <c r="AQ69" s="10">
        <v>2760</v>
      </c>
      <c r="AR69" s="10">
        <v>2760</v>
      </c>
      <c r="AS69" s="10">
        <v>2760</v>
      </c>
      <c r="AT69" s="10">
        <v>2760</v>
      </c>
      <c r="AU69" s="10">
        <f t="shared" si="5"/>
        <v>51842</v>
      </c>
    </row>
    <row r="70" spans="1:47" ht="18.5" x14ac:dyDescent="0.35">
      <c r="A70" s="25"/>
      <c r="B70" s="9" t="s">
        <v>59</v>
      </c>
      <c r="C70" s="10" t="s">
        <v>60</v>
      </c>
      <c r="D70" s="10" t="s">
        <v>82</v>
      </c>
      <c r="E70" s="10" t="s">
        <v>85</v>
      </c>
      <c r="F70" s="11">
        <v>4.5</v>
      </c>
      <c r="G70" s="11">
        <v>1.125</v>
      </c>
      <c r="H70" s="11">
        <v>2.75</v>
      </c>
      <c r="I70" s="11">
        <v>1.5</v>
      </c>
      <c r="J70" s="11">
        <v>3.25</v>
      </c>
      <c r="K70" s="11">
        <v>3.25</v>
      </c>
      <c r="L70" s="11">
        <v>3.5</v>
      </c>
      <c r="M70" s="11">
        <v>2.25</v>
      </c>
      <c r="N70" s="11">
        <v>2.375</v>
      </c>
      <c r="O70" s="11">
        <v>3</v>
      </c>
      <c r="P70" s="11">
        <v>0.75</v>
      </c>
      <c r="Q70" s="11">
        <v>3.5</v>
      </c>
      <c r="R70" s="11">
        <v>2.75</v>
      </c>
      <c r="S70" s="11">
        <v>3.75</v>
      </c>
      <c r="T70" s="11">
        <v>3.75</v>
      </c>
      <c r="U70" s="11">
        <v>4.75</v>
      </c>
      <c r="V70" s="11">
        <v>3.25</v>
      </c>
      <c r="W70" s="11">
        <v>2.75</v>
      </c>
      <c r="X70" s="11">
        <v>2.5</v>
      </c>
      <c r="Y70" s="11">
        <v>2.5</v>
      </c>
      <c r="Z70" s="11">
        <f t="shared" si="4"/>
        <v>2.8875000000000002</v>
      </c>
      <c r="AA70" s="10">
        <v>1280</v>
      </c>
      <c r="AB70" s="10">
        <v>1280</v>
      </c>
      <c r="AC70" s="10">
        <v>1280</v>
      </c>
      <c r="AD70" s="10">
        <v>1280</v>
      </c>
      <c r="AE70" s="10">
        <v>1280</v>
      </c>
      <c r="AF70" s="10">
        <v>1280</v>
      </c>
      <c r="AG70" s="10">
        <v>1280</v>
      </c>
      <c r="AH70" s="10">
        <v>1280</v>
      </c>
      <c r="AI70" s="10">
        <v>1280</v>
      </c>
      <c r="AJ70" s="10">
        <v>1280</v>
      </c>
      <c r="AK70" s="10">
        <v>1280</v>
      </c>
      <c r="AL70" s="10">
        <v>1280</v>
      </c>
      <c r="AM70" s="10">
        <v>1280</v>
      </c>
      <c r="AN70" s="10">
        <v>1280</v>
      </c>
      <c r="AO70" s="10">
        <v>1280</v>
      </c>
      <c r="AP70" s="10">
        <v>1280</v>
      </c>
      <c r="AQ70" s="10">
        <v>1280</v>
      </c>
      <c r="AR70" s="10">
        <v>1280</v>
      </c>
      <c r="AS70" s="10">
        <v>1280</v>
      </c>
      <c r="AT70" s="10">
        <v>1280</v>
      </c>
      <c r="AU70" s="10">
        <f t="shared" si="5"/>
        <v>25600</v>
      </c>
    </row>
    <row r="71" spans="1:47" ht="18.5" x14ac:dyDescent="0.35">
      <c r="A71" s="25"/>
      <c r="B71" s="9" t="s">
        <v>61</v>
      </c>
      <c r="C71" s="10" t="s">
        <v>62</v>
      </c>
      <c r="D71" s="10" t="s">
        <v>82</v>
      </c>
      <c r="E71" s="10" t="s">
        <v>85</v>
      </c>
      <c r="F71" s="11">
        <v>1.75</v>
      </c>
      <c r="G71" s="11">
        <v>3.25</v>
      </c>
      <c r="H71" s="11">
        <v>2</v>
      </c>
      <c r="I71" s="11">
        <v>0.625</v>
      </c>
      <c r="J71" s="11">
        <v>2.5</v>
      </c>
      <c r="K71" s="11">
        <v>2</v>
      </c>
      <c r="L71" s="11">
        <v>1.75</v>
      </c>
      <c r="M71" s="11">
        <v>0.75</v>
      </c>
      <c r="N71" s="11">
        <v>1.25</v>
      </c>
      <c r="O71" s="11">
        <v>2.25</v>
      </c>
      <c r="P71" s="11">
        <v>1.25</v>
      </c>
      <c r="Q71" s="11">
        <v>1.25</v>
      </c>
      <c r="R71" s="11">
        <v>2</v>
      </c>
      <c r="S71" s="11">
        <v>2.625</v>
      </c>
      <c r="T71" s="11">
        <v>0.75</v>
      </c>
      <c r="U71" s="11">
        <v>2</v>
      </c>
      <c r="V71" s="11">
        <v>1.5</v>
      </c>
      <c r="W71" s="11">
        <v>2</v>
      </c>
      <c r="X71" s="11">
        <v>1.5</v>
      </c>
      <c r="Y71" s="11">
        <v>1.25</v>
      </c>
      <c r="Z71" s="11">
        <f t="shared" si="4"/>
        <v>1.7124999999999999</v>
      </c>
      <c r="AA71" s="10">
        <v>2160</v>
      </c>
      <c r="AB71" s="10">
        <v>2160</v>
      </c>
      <c r="AC71" s="10">
        <v>2160</v>
      </c>
      <c r="AD71" s="10">
        <v>2160</v>
      </c>
      <c r="AE71" s="10">
        <v>2160</v>
      </c>
      <c r="AF71" s="10">
        <v>2160</v>
      </c>
      <c r="AG71" s="10">
        <v>2160</v>
      </c>
      <c r="AH71" s="10">
        <v>2160</v>
      </c>
      <c r="AI71" s="10">
        <v>2160</v>
      </c>
      <c r="AJ71" s="10">
        <v>2160</v>
      </c>
      <c r="AK71" s="10">
        <v>2480</v>
      </c>
      <c r="AL71" s="10">
        <v>2480</v>
      </c>
      <c r="AM71" s="10">
        <v>2480</v>
      </c>
      <c r="AN71" s="10">
        <v>2480</v>
      </c>
      <c r="AO71" s="10">
        <v>2480</v>
      </c>
      <c r="AP71" s="10">
        <v>2480</v>
      </c>
      <c r="AQ71" s="10">
        <v>2480</v>
      </c>
      <c r="AR71" s="10">
        <v>2480</v>
      </c>
      <c r="AS71" s="10">
        <v>2480</v>
      </c>
      <c r="AT71" s="10">
        <v>2480</v>
      </c>
      <c r="AU71" s="10">
        <f t="shared" si="5"/>
        <v>46400</v>
      </c>
    </row>
    <row r="72" spans="1:47" ht="18.5" x14ac:dyDescent="0.35">
      <c r="A72" s="25"/>
      <c r="B72" s="9" t="s">
        <v>63</v>
      </c>
      <c r="C72" s="10" t="s">
        <v>64</v>
      </c>
      <c r="D72" s="10" t="s">
        <v>82</v>
      </c>
      <c r="E72" s="10" t="s">
        <v>85</v>
      </c>
      <c r="F72" s="11">
        <v>0.75</v>
      </c>
      <c r="G72" s="11">
        <v>1</v>
      </c>
      <c r="H72" s="11">
        <v>1.5</v>
      </c>
      <c r="I72" s="11">
        <v>0.75</v>
      </c>
      <c r="J72" s="11">
        <v>1.5</v>
      </c>
      <c r="K72" s="11">
        <v>1.5</v>
      </c>
      <c r="L72" s="11">
        <v>0.25</v>
      </c>
      <c r="M72" s="11">
        <v>1.5</v>
      </c>
      <c r="N72" s="11">
        <v>1</v>
      </c>
      <c r="O72" s="11">
        <v>1.5</v>
      </c>
      <c r="P72" s="11">
        <v>0.75</v>
      </c>
      <c r="Q72" s="11">
        <v>1</v>
      </c>
      <c r="R72" s="11">
        <v>1.5</v>
      </c>
      <c r="S72" s="11">
        <v>2.25</v>
      </c>
      <c r="T72" s="11">
        <v>1.25</v>
      </c>
      <c r="U72" s="11">
        <v>1.5</v>
      </c>
      <c r="V72" s="11">
        <v>1.5</v>
      </c>
      <c r="W72" s="11">
        <v>1.5</v>
      </c>
      <c r="X72" s="11">
        <v>2</v>
      </c>
      <c r="Y72" s="11">
        <v>1.75</v>
      </c>
      <c r="Z72" s="11">
        <f t="shared" si="4"/>
        <v>1.3125</v>
      </c>
      <c r="AA72" s="10">
        <v>2760</v>
      </c>
      <c r="AB72" s="10">
        <v>2760</v>
      </c>
      <c r="AC72" s="10">
        <v>2760</v>
      </c>
      <c r="AD72" s="10">
        <v>2760</v>
      </c>
      <c r="AE72" s="10">
        <v>2760</v>
      </c>
      <c r="AF72" s="10">
        <v>2760</v>
      </c>
      <c r="AG72" s="10">
        <v>2760</v>
      </c>
      <c r="AH72" s="10">
        <v>2760</v>
      </c>
      <c r="AI72" s="10">
        <v>2760</v>
      </c>
      <c r="AJ72" s="10">
        <v>2760</v>
      </c>
      <c r="AK72" s="10">
        <v>3040</v>
      </c>
      <c r="AL72" s="10">
        <v>3040</v>
      </c>
      <c r="AM72" s="10">
        <v>3040</v>
      </c>
      <c r="AN72" s="10">
        <v>3040</v>
      </c>
      <c r="AO72" s="10">
        <v>3040</v>
      </c>
      <c r="AP72" s="10">
        <v>3040</v>
      </c>
      <c r="AQ72" s="10">
        <v>3040</v>
      </c>
      <c r="AR72" s="10">
        <v>3040</v>
      </c>
      <c r="AS72" s="10">
        <v>3040</v>
      </c>
      <c r="AT72" s="10">
        <v>3040</v>
      </c>
      <c r="AU72" s="10">
        <f t="shared" si="5"/>
        <v>58000</v>
      </c>
    </row>
    <row r="73" spans="1:47" ht="18.5" x14ac:dyDescent="0.35">
      <c r="A73" s="25"/>
      <c r="B73" s="9" t="s">
        <v>65</v>
      </c>
      <c r="C73" s="10" t="s">
        <v>66</v>
      </c>
      <c r="D73" s="10" t="s">
        <v>81</v>
      </c>
      <c r="E73" s="10" t="s">
        <v>85</v>
      </c>
      <c r="F73" s="11">
        <v>2</v>
      </c>
      <c r="G73" s="11">
        <v>1.25</v>
      </c>
      <c r="H73" s="11">
        <v>3.25</v>
      </c>
      <c r="I73" s="11">
        <v>2</v>
      </c>
      <c r="J73" s="11">
        <v>2.25</v>
      </c>
      <c r="K73" s="11">
        <v>2.25</v>
      </c>
      <c r="L73" s="11">
        <v>1.75</v>
      </c>
      <c r="M73" s="11">
        <v>2.25</v>
      </c>
      <c r="N73" s="11">
        <v>2.5</v>
      </c>
      <c r="O73" s="11">
        <v>2.5</v>
      </c>
      <c r="P73" s="11">
        <v>1.5</v>
      </c>
      <c r="Q73" s="11">
        <v>2.25</v>
      </c>
      <c r="R73" s="11">
        <v>2.25</v>
      </c>
      <c r="S73" s="11">
        <v>2.25</v>
      </c>
      <c r="T73" s="11">
        <v>2.25</v>
      </c>
      <c r="U73" s="11">
        <v>2.5</v>
      </c>
      <c r="V73" s="11">
        <v>2.5</v>
      </c>
      <c r="W73" s="11">
        <v>2.5</v>
      </c>
      <c r="X73" s="11">
        <v>2.5</v>
      </c>
      <c r="Y73" s="11">
        <v>2</v>
      </c>
      <c r="Z73" s="11">
        <f t="shared" si="4"/>
        <v>2.2250000000000001</v>
      </c>
      <c r="AA73" s="10">
        <v>3240</v>
      </c>
      <c r="AB73" s="10">
        <v>3240</v>
      </c>
      <c r="AC73" s="10">
        <v>3240</v>
      </c>
      <c r="AD73" s="10">
        <v>3240</v>
      </c>
      <c r="AE73" s="10">
        <v>3240</v>
      </c>
      <c r="AF73" s="10">
        <v>3240</v>
      </c>
      <c r="AG73" s="10">
        <v>3240</v>
      </c>
      <c r="AH73" s="10">
        <v>3240</v>
      </c>
      <c r="AI73" s="10">
        <v>3240</v>
      </c>
      <c r="AJ73" s="10">
        <v>3240</v>
      </c>
      <c r="AK73" s="10">
        <v>3560</v>
      </c>
      <c r="AL73" s="10">
        <v>3560</v>
      </c>
      <c r="AM73" s="10">
        <v>3560</v>
      </c>
      <c r="AN73" s="10">
        <v>3560</v>
      </c>
      <c r="AO73" s="10">
        <v>3560</v>
      </c>
      <c r="AP73" s="10">
        <v>3560</v>
      </c>
      <c r="AQ73" s="10">
        <v>3560</v>
      </c>
      <c r="AR73" s="10">
        <v>3560</v>
      </c>
      <c r="AS73" s="10">
        <v>3560</v>
      </c>
      <c r="AT73" s="10">
        <v>3560</v>
      </c>
      <c r="AU73" s="10">
        <f t="shared" si="5"/>
        <v>68000</v>
      </c>
    </row>
    <row r="74" spans="1:47" ht="18.5" x14ac:dyDescent="0.35">
      <c r="A74" s="25"/>
      <c r="B74" s="9" t="s">
        <v>67</v>
      </c>
      <c r="C74" s="10" t="s">
        <v>68</v>
      </c>
      <c r="D74" s="10" t="s">
        <v>82</v>
      </c>
      <c r="E74" s="10" t="s">
        <v>85</v>
      </c>
      <c r="F74" s="11">
        <v>1</v>
      </c>
      <c r="G74" s="11">
        <v>1.25</v>
      </c>
      <c r="H74" s="11">
        <v>1</v>
      </c>
      <c r="I74" s="11">
        <v>0.75</v>
      </c>
      <c r="J74" s="11">
        <v>1.5</v>
      </c>
      <c r="K74" s="11">
        <v>1.25</v>
      </c>
      <c r="L74" s="11">
        <v>2.25</v>
      </c>
      <c r="M74" s="11">
        <v>3.25</v>
      </c>
      <c r="N74" s="11">
        <v>1.75</v>
      </c>
      <c r="O74" s="11">
        <v>4.25</v>
      </c>
      <c r="P74" s="11">
        <v>0</v>
      </c>
      <c r="Q74" s="11">
        <v>2.75</v>
      </c>
      <c r="R74" s="11">
        <v>1.25</v>
      </c>
      <c r="S74" s="11">
        <v>1.25</v>
      </c>
      <c r="T74" s="11">
        <v>2.25</v>
      </c>
      <c r="U74" s="11">
        <v>2.75</v>
      </c>
      <c r="V74" s="11">
        <v>2.75</v>
      </c>
      <c r="W74" s="11">
        <v>2.5</v>
      </c>
      <c r="X74" s="11">
        <v>3</v>
      </c>
      <c r="Y74" s="11">
        <v>3</v>
      </c>
      <c r="Z74" s="11">
        <f t="shared" si="4"/>
        <v>1.9875</v>
      </c>
      <c r="AA74" s="10">
        <v>2176</v>
      </c>
      <c r="AB74" s="10">
        <v>2560</v>
      </c>
      <c r="AC74" s="10">
        <v>2432</v>
      </c>
      <c r="AD74" s="10">
        <v>2368</v>
      </c>
      <c r="AE74" s="10">
        <v>2560</v>
      </c>
      <c r="AF74" s="10">
        <v>2560</v>
      </c>
      <c r="AG74" s="10">
        <v>2560</v>
      </c>
      <c r="AH74" s="10">
        <v>2560</v>
      </c>
      <c r="AI74" s="10">
        <v>2560</v>
      </c>
      <c r="AJ74" s="10">
        <v>2560</v>
      </c>
      <c r="AK74" s="10">
        <v>2560</v>
      </c>
      <c r="AL74" s="10">
        <v>2560</v>
      </c>
      <c r="AM74" s="10">
        <v>2560</v>
      </c>
      <c r="AN74" s="10">
        <v>2560</v>
      </c>
      <c r="AO74" s="10">
        <v>2560</v>
      </c>
      <c r="AP74" s="10">
        <v>2560</v>
      </c>
      <c r="AQ74" s="10">
        <v>2560</v>
      </c>
      <c r="AR74" s="10">
        <v>2560</v>
      </c>
      <c r="AS74" s="10">
        <v>2560</v>
      </c>
      <c r="AT74" s="10">
        <v>2560</v>
      </c>
      <c r="AU74" s="10">
        <f t="shared" si="5"/>
        <v>50496</v>
      </c>
    </row>
    <row r="75" spans="1:47" ht="18.5" x14ac:dyDescent="0.35">
      <c r="A75" s="25"/>
      <c r="B75" s="9" t="s">
        <v>69</v>
      </c>
      <c r="C75" s="10" t="s">
        <v>70</v>
      </c>
      <c r="D75" s="10" t="s">
        <v>82</v>
      </c>
      <c r="E75" s="10" t="s">
        <v>84</v>
      </c>
      <c r="F75" s="11">
        <v>0.5</v>
      </c>
      <c r="G75" s="11">
        <v>1.25</v>
      </c>
      <c r="H75" s="11">
        <v>1.25</v>
      </c>
      <c r="I75" s="11">
        <v>1</v>
      </c>
      <c r="J75" s="11">
        <v>1.5</v>
      </c>
      <c r="K75" s="11">
        <v>0.75</v>
      </c>
      <c r="L75" s="11">
        <v>2.75</v>
      </c>
      <c r="M75" s="11">
        <v>2</v>
      </c>
      <c r="N75" s="11">
        <v>2.25</v>
      </c>
      <c r="O75" s="11">
        <v>2.75</v>
      </c>
      <c r="P75" s="11">
        <v>1</v>
      </c>
      <c r="Q75" s="11">
        <v>0.75</v>
      </c>
      <c r="R75" s="11">
        <v>1.5</v>
      </c>
      <c r="S75" s="11">
        <v>1</v>
      </c>
      <c r="T75" s="11">
        <v>0.25</v>
      </c>
      <c r="U75" s="11">
        <v>1.25</v>
      </c>
      <c r="V75" s="11">
        <v>2.25</v>
      </c>
      <c r="W75" s="11">
        <v>1</v>
      </c>
      <c r="X75" s="11">
        <v>1.5</v>
      </c>
      <c r="Y75" s="11">
        <v>2.25</v>
      </c>
      <c r="Z75" s="11">
        <f t="shared" si="4"/>
        <v>1.4375</v>
      </c>
      <c r="AA75" s="10">
        <v>1088</v>
      </c>
      <c r="AB75" s="10">
        <v>1216</v>
      </c>
      <c r="AC75" s="10">
        <v>1280</v>
      </c>
      <c r="AD75" s="10">
        <v>1280</v>
      </c>
      <c r="AE75" s="10">
        <v>1216</v>
      </c>
      <c r="AF75" s="10">
        <v>1280</v>
      </c>
      <c r="AG75" s="10">
        <v>1280</v>
      </c>
      <c r="AH75" s="10">
        <v>1280</v>
      </c>
      <c r="AI75" s="10">
        <v>1280</v>
      </c>
      <c r="AJ75" s="10">
        <v>1280</v>
      </c>
      <c r="AK75" s="10">
        <v>1760</v>
      </c>
      <c r="AL75" s="10">
        <v>1760</v>
      </c>
      <c r="AM75" s="10">
        <v>1716</v>
      </c>
      <c r="AN75" s="10">
        <v>1760</v>
      </c>
      <c r="AO75" s="10">
        <v>1760</v>
      </c>
      <c r="AP75" s="10">
        <v>1760</v>
      </c>
      <c r="AQ75" s="10">
        <v>1760</v>
      </c>
      <c r="AR75" s="10">
        <v>1760</v>
      </c>
      <c r="AS75" s="10">
        <v>1760</v>
      </c>
      <c r="AT75" s="10">
        <v>1760</v>
      </c>
      <c r="AU75" s="10">
        <f t="shared" si="5"/>
        <v>30036</v>
      </c>
    </row>
    <row r="76" spans="1:47" x14ac:dyDescent="0.35">
      <c r="B76" s="8" t="s">
        <v>78</v>
      </c>
      <c r="C76" s="8"/>
      <c r="D76" s="8"/>
      <c r="E76" s="8"/>
      <c r="F76" s="3">
        <f>AVERAGE(F41:F75)</f>
        <v>0.90357142857142858</v>
      </c>
      <c r="G76" s="3">
        <f t="shared" ref="G76:AU76" si="6">AVERAGE(G41:G75)</f>
        <v>0.93014705882352944</v>
      </c>
      <c r="H76" s="3">
        <f t="shared" si="6"/>
        <v>1.2035714285714285</v>
      </c>
      <c r="I76" s="3">
        <f t="shared" si="6"/>
        <v>1.2357142857142858</v>
      </c>
      <c r="J76" s="3">
        <f t="shared" si="6"/>
        <v>1.45</v>
      </c>
      <c r="K76" s="3">
        <f t="shared" si="6"/>
        <v>1.4464285714285714</v>
      </c>
      <c r="L76" s="3">
        <f t="shared" si="6"/>
        <v>1.5821428571428571</v>
      </c>
      <c r="M76" s="3">
        <f t="shared" si="6"/>
        <v>1.5714285714285714</v>
      </c>
      <c r="N76" s="3">
        <f t="shared" si="6"/>
        <v>1.825</v>
      </c>
      <c r="O76" s="3">
        <f t="shared" si="6"/>
        <v>1.5607142857142857</v>
      </c>
      <c r="P76" s="3">
        <f t="shared" si="6"/>
        <v>0.81428571428571428</v>
      </c>
      <c r="Q76" s="3">
        <f t="shared" si="6"/>
        <v>1.150735294117647</v>
      </c>
      <c r="R76" s="3">
        <f t="shared" si="6"/>
        <v>1.2683823529411764</v>
      </c>
      <c r="S76" s="3">
        <f t="shared" si="6"/>
        <v>1.3345588235294117</v>
      </c>
      <c r="T76" s="3">
        <f t="shared" si="6"/>
        <v>1.142156862745098</v>
      </c>
      <c r="U76" s="3">
        <f t="shared" si="6"/>
        <v>1.4485294117647058</v>
      </c>
      <c r="V76" s="3">
        <f t="shared" si="6"/>
        <v>1.3786764705882353</v>
      </c>
      <c r="W76" s="3">
        <f t="shared" si="6"/>
        <v>1.4705882352941178</v>
      </c>
      <c r="X76" s="3">
        <f t="shared" si="6"/>
        <v>1.5404411764705883</v>
      </c>
      <c r="Y76" s="3">
        <f t="shared" si="6"/>
        <v>1.5220588235294117</v>
      </c>
      <c r="Z76" s="3">
        <f t="shared" si="6"/>
        <v>1.3488912622465257</v>
      </c>
      <c r="AA76" s="3">
        <f t="shared" si="6"/>
        <v>1770.5428571428572</v>
      </c>
      <c r="AB76" s="3">
        <f t="shared" si="6"/>
        <v>1794.9117647058824</v>
      </c>
      <c r="AC76" s="3">
        <f t="shared" si="6"/>
        <v>1897.5428571428572</v>
      </c>
      <c r="AD76" s="3">
        <f t="shared" si="6"/>
        <v>1897.0571428571429</v>
      </c>
      <c r="AE76" s="3">
        <f t="shared" si="6"/>
        <v>1904.0571428571429</v>
      </c>
      <c r="AF76" s="3">
        <f t="shared" si="6"/>
        <v>1948.8857142857144</v>
      </c>
      <c r="AG76" s="3">
        <f t="shared" si="6"/>
        <v>1970.4571428571428</v>
      </c>
      <c r="AH76" s="3">
        <f t="shared" si="6"/>
        <v>1952.9428571428571</v>
      </c>
      <c r="AI76" s="3">
        <f t="shared" si="6"/>
        <v>1984.8571428571429</v>
      </c>
      <c r="AJ76" s="3">
        <f t="shared" si="6"/>
        <v>1972.9142857142858</v>
      </c>
      <c r="AK76" s="3">
        <f t="shared" si="6"/>
        <v>2177.2571428571428</v>
      </c>
      <c r="AL76" s="3">
        <f t="shared" si="6"/>
        <v>2169.1764705882351</v>
      </c>
      <c r="AM76" s="3">
        <f t="shared" si="6"/>
        <v>2187.205882352941</v>
      </c>
      <c r="AN76" s="3">
        <f t="shared" si="6"/>
        <v>2194.4117647058824</v>
      </c>
      <c r="AO76" s="3">
        <f t="shared" si="6"/>
        <v>2231.5294117647059</v>
      </c>
      <c r="AP76" s="3">
        <f t="shared" si="6"/>
        <v>2203.5294117647059</v>
      </c>
      <c r="AQ76" s="3">
        <f t="shared" si="6"/>
        <v>2225.8529411764707</v>
      </c>
      <c r="AR76" s="3">
        <f t="shared" si="6"/>
        <v>2237.8823529411766</v>
      </c>
      <c r="AS76" s="3">
        <f t="shared" si="6"/>
        <v>2235.0294117647059</v>
      </c>
      <c r="AT76" s="3">
        <f t="shared" si="6"/>
        <v>2230.5294117647059</v>
      </c>
      <c r="AU76" s="3">
        <f t="shared" si="6"/>
        <v>40566.285714285717</v>
      </c>
    </row>
    <row r="77" spans="1:47" x14ac:dyDescent="0.35">
      <c r="B77" s="4" t="s">
        <v>79</v>
      </c>
      <c r="C77" s="4"/>
      <c r="D77" s="4"/>
      <c r="E77" s="4"/>
      <c r="F77" s="3">
        <f>STDEV(F41:F75)</f>
        <v>0.90295965272750778</v>
      </c>
      <c r="G77" s="3">
        <f t="shared" ref="G77:AU77" si="7">STDEV(G41:G75)</f>
        <v>0.83891568299377117</v>
      </c>
      <c r="H77" s="3">
        <f t="shared" si="7"/>
        <v>0.89169251775401104</v>
      </c>
      <c r="I77" s="3">
        <f t="shared" si="7"/>
        <v>1.0531689873740047</v>
      </c>
      <c r="J77" s="3">
        <f t="shared" si="7"/>
        <v>1.101553048040383</v>
      </c>
      <c r="K77" s="3">
        <f t="shared" si="7"/>
        <v>1.0273313311028465</v>
      </c>
      <c r="L77" s="3">
        <f t="shared" si="7"/>
        <v>1.0744111148426747</v>
      </c>
      <c r="M77" s="3">
        <f t="shared" si="7"/>
        <v>0.95740425064842061</v>
      </c>
      <c r="N77" s="3">
        <f t="shared" si="7"/>
        <v>1.2577699686817327</v>
      </c>
      <c r="O77" s="3">
        <f t="shared" si="7"/>
        <v>1.0843859355150534</v>
      </c>
      <c r="P77" s="3">
        <f t="shared" si="7"/>
        <v>0.86516076613569592</v>
      </c>
      <c r="Q77" s="3">
        <f t="shared" si="7"/>
        <v>0.86206862937174589</v>
      </c>
      <c r="R77" s="3">
        <f t="shared" si="7"/>
        <v>1.033589450607163</v>
      </c>
      <c r="S77" s="3">
        <f t="shared" si="7"/>
        <v>0.97347422780087678</v>
      </c>
      <c r="T77" s="3">
        <f t="shared" si="7"/>
        <v>1.020265903266881</v>
      </c>
      <c r="U77" s="3">
        <f t="shared" si="7"/>
        <v>1.1539284215838681</v>
      </c>
      <c r="V77" s="3">
        <f t="shared" si="7"/>
        <v>0.97530361148777922</v>
      </c>
      <c r="W77" s="3">
        <f t="shared" si="7"/>
        <v>1.1243932806426615</v>
      </c>
      <c r="X77" s="3">
        <f t="shared" si="7"/>
        <v>1.1376480041222867</v>
      </c>
      <c r="Y77" s="3">
        <f t="shared" si="7"/>
        <v>1.0599772136251961</v>
      </c>
      <c r="Z77" s="3">
        <f t="shared" si="7"/>
        <v>0.74554198471902711</v>
      </c>
      <c r="AA77" s="3">
        <f t="shared" si="7"/>
        <v>624.39765529089971</v>
      </c>
      <c r="AB77" s="3">
        <f t="shared" si="7"/>
        <v>596.75416834166742</v>
      </c>
      <c r="AC77" s="3">
        <f t="shared" si="7"/>
        <v>577.32508646531642</v>
      </c>
      <c r="AD77" s="3">
        <f t="shared" si="7"/>
        <v>567.30648127575557</v>
      </c>
      <c r="AE77" s="3">
        <f t="shared" si="7"/>
        <v>557.32944860801535</v>
      </c>
      <c r="AF77" s="3">
        <f t="shared" si="7"/>
        <v>561.55219606690434</v>
      </c>
      <c r="AG77" s="3">
        <f t="shared" si="7"/>
        <v>550.71548877785483</v>
      </c>
      <c r="AH77" s="3">
        <f t="shared" si="7"/>
        <v>557.10327181069852</v>
      </c>
      <c r="AI77" s="3">
        <f t="shared" si="7"/>
        <v>554.83103643505467</v>
      </c>
      <c r="AJ77" s="3">
        <f t="shared" si="7"/>
        <v>553.3105378180536</v>
      </c>
      <c r="AK77" s="3">
        <f t="shared" si="7"/>
        <v>623.10245323453069</v>
      </c>
      <c r="AL77" s="3">
        <f t="shared" si="7"/>
        <v>582.21606270525922</v>
      </c>
      <c r="AM77" s="3">
        <f t="shared" si="7"/>
        <v>627.17045092207889</v>
      </c>
      <c r="AN77" s="3">
        <f t="shared" si="7"/>
        <v>645.53886898663859</v>
      </c>
      <c r="AO77" s="3">
        <f t="shared" si="7"/>
        <v>623.81408629514738</v>
      </c>
      <c r="AP77" s="3">
        <f t="shared" si="7"/>
        <v>623.37460090071716</v>
      </c>
      <c r="AQ77" s="3">
        <f t="shared" si="7"/>
        <v>614.79290094445116</v>
      </c>
      <c r="AR77" s="3">
        <f t="shared" si="7"/>
        <v>618.98077341785222</v>
      </c>
      <c r="AS77" s="3">
        <f t="shared" si="7"/>
        <v>608.19118232694689</v>
      </c>
      <c r="AT77" s="3">
        <f t="shared" si="7"/>
        <v>612.56723738774645</v>
      </c>
      <c r="AU77" s="3">
        <f t="shared" si="7"/>
        <v>11842.784324770308</v>
      </c>
    </row>
  </sheetData>
  <mergeCells count="4">
    <mergeCell ref="F1:Z1"/>
    <mergeCell ref="AA1:AU1"/>
    <mergeCell ref="A3:A37"/>
    <mergeCell ref="A41:A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mCSA_ECHO_PA_FL</vt:lpstr>
      <vt:lpstr>RIRScale_VolumeLoad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Bittencourt</dc:creator>
  <cp:lastModifiedBy>Diego Bittencourt</cp:lastModifiedBy>
  <dcterms:created xsi:type="dcterms:W3CDTF">2015-06-05T18:17:20Z</dcterms:created>
  <dcterms:modified xsi:type="dcterms:W3CDTF">2026-08-26T17:35:50Z</dcterms:modified>
</cp:coreProperties>
</file>